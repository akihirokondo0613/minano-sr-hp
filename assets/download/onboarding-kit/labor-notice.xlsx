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mc:AlternateContent xmlns:mc="http://schemas.openxmlformats.org/markup-compatibility/2006">
    <mc:Choice Requires="x15">
      <x15ac:absPath xmlns:x15ac="http://schemas.microsoft.com/office/spreadsheetml/2010/11/ac" url="/Users/kondouakihiro/Documents/Codex/2026-08-16/new-chat/outputs/roudo_joken_excel_20260816/"/>
    </mc:Choice>
  </mc:AlternateContent>
  <xr:revisionPtr revIDLastSave="0" documentId="13_ncr:1_{D686B3D8-14CF-5443-9800-2AEFA6F89F2C}" xr6:coauthVersionLast="47" xr6:coauthVersionMax="47" xr10:uidLastSave="{00000000-0000-0000-0000-000000000000}"/>
  <bookViews>
    <workbookView xWindow="0" yWindow="600" windowWidth="51200" windowHeight="28200" activeTab="1" xr2:uid="{00000000-000D-0000-FFFF-FFFF00000000}"/>
  </bookViews>
  <sheets>
    <sheet name="入力" sheetId="1" r:id="rId1"/>
    <sheet name="一般労働者用" sheetId="2" r:id="rId2"/>
    <sheet name="短時間労働者用" sheetId="3" r:id="rId3"/>
  </sheets>
  <definedNames>
    <definedName name="_xlnm.Print_Area" localSheetId="1">一般労働者用!$A$1:$L$25</definedName>
    <definedName name="_xlnm.Print_Area" localSheetId="2">短時間労働者用!$A$1:$L$25</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3" i="3" l="1"/>
  <c r="C22" i="3"/>
  <c r="C21" i="3"/>
  <c r="C20" i="3"/>
  <c r="C19" i="3"/>
  <c r="C18" i="3"/>
  <c r="C14" i="3"/>
  <c r="C13" i="3"/>
  <c r="C12" i="3"/>
  <c r="C11" i="3"/>
  <c r="C10" i="3"/>
  <c r="A9" i="3"/>
  <c r="A8" i="3"/>
  <c r="C7" i="3"/>
  <c r="E6" i="3"/>
  <c r="E5" i="3"/>
  <c r="A5" i="3"/>
  <c r="H4" i="3"/>
  <c r="A23" i="2"/>
  <c r="C22" i="2"/>
  <c r="C21" i="2"/>
  <c r="C20" i="2"/>
  <c r="C19" i="2"/>
  <c r="C18" i="2"/>
  <c r="C14" i="2"/>
  <c r="C13" i="2"/>
  <c r="C12" i="2"/>
  <c r="C11" i="2"/>
  <c r="C10" i="2"/>
  <c r="A9" i="2"/>
  <c r="A8" i="2"/>
  <c r="C7" i="2"/>
  <c r="E6" i="2"/>
  <c r="E5" i="2"/>
  <c r="A5" i="2"/>
  <c r="H4" i="2"/>
</calcChain>
</file>

<file path=xl/sharedStrings.xml><?xml version="1.0" encoding="utf-8"?>
<sst xmlns="http://schemas.openxmlformats.org/spreadsheetml/2006/main" count="882" uniqueCount="187">
  <si>
    <t>労働条件通知書　入力</t>
  </si>
  <si>
    <t>黄色のセルだけに入力します。印刷は『一般労働者用』または『短時間労働者用』を選びます。印刷面は厚生労働省モデルの配置・項目順を保っています。</t>
  </si>
  <si>
    <t>基本情報</t>
  </si>
  <si>
    <t>通知日</t>
  </si>
  <si>
    <t>実際の交付日</t>
  </si>
  <si>
    <t>労働者氏名</t>
  </si>
  <si>
    <t>個人ごとに作成</t>
  </si>
  <si>
    <t>事業場名称</t>
  </si>
  <si>
    <t>法人名・支店名等</t>
  </si>
  <si>
    <t>事業場所在地</t>
  </si>
  <si>
    <t>郵便番号・所在地</t>
  </si>
  <si>
    <t>使用者職名</t>
  </si>
  <si>
    <t>例：代表取締役</t>
  </si>
  <si>
    <t>使用者氏名</t>
  </si>
  <si>
    <t>労働条件の決定権限を持つ者</t>
  </si>
  <si>
    <t>契約期間・更新・無期転換</t>
  </si>
  <si>
    <t>契約期間</t>
  </si>
  <si>
    <t>該当する選択肢に○を表示</t>
  </si>
  <si>
    <t>契約開始日</t>
  </si>
  <si>
    <t>有期の場合</t>
  </si>
  <si>
    <t>契約終了日</t>
  </si>
  <si>
    <t>契約更新の有無</t>
  </si>
  <si>
    <t>契約更新・その他</t>
  </si>
  <si>
    <t>更新区分が『その他』の場合</t>
  </si>
  <si>
    <t>更新判断・その他</t>
  </si>
  <si>
    <t>公式の判断項目に加える具体的基準</t>
  </si>
  <si>
    <t>更新上限</t>
  </si>
  <si>
    <t>無／有</t>
  </si>
  <si>
    <t>更新回数上限</t>
  </si>
  <si>
    <t>有の場合。回数を数値で入力</t>
  </si>
  <si>
    <t>通算契約期間上限</t>
  </si>
  <si>
    <t>有の場合。年数を数値で入力</t>
  </si>
  <si>
    <t>無期転換日</t>
  </si>
  <si>
    <t>申込みにより無期契約となる日</t>
  </si>
  <si>
    <t>無期転換後の条件変更</t>
  </si>
  <si>
    <t>無／有（別紙のとおり）</t>
  </si>
  <si>
    <t>有期特措法の特例</t>
  </si>
  <si>
    <t>該当なし／高度専門／定年後の高齢者</t>
  </si>
  <si>
    <t>特定有期業務の期間</t>
  </si>
  <si>
    <t>高度専門の場合。月数を入力</t>
  </si>
  <si>
    <t>就業場所・従事業務</t>
  </si>
  <si>
    <t>就業場所（雇入れ直後）</t>
  </si>
  <si>
    <t>事業場・在宅勤務場所等</t>
  </si>
  <si>
    <t>就業場所（変更の範囲）</t>
  </si>
  <si>
    <t>変更なしの場合も明記</t>
  </si>
  <si>
    <t>業務内容（雇入れ直後）</t>
  </si>
  <si>
    <t>主要業務を具体的に</t>
  </si>
  <si>
    <t>業務内容（変更の範囲）</t>
  </si>
  <si>
    <t>特定有期業務の内容</t>
  </si>
  <si>
    <t>高度専門の特例対象者の場合</t>
  </si>
  <si>
    <t>特定有期業務の開始日</t>
  </si>
  <si>
    <t>特定有期業務の完了日</t>
  </si>
  <si>
    <t>始業・終業・休憩・時間外労働</t>
  </si>
  <si>
    <t>始業時刻</t>
  </si>
  <si>
    <t>例：9時00分</t>
  </si>
  <si>
    <t>終業時刻</t>
  </si>
  <si>
    <t>例：18時00分</t>
  </si>
  <si>
    <t>変形労働時間制の単位</t>
  </si>
  <si>
    <t>例：1か月、1年</t>
  </si>
  <si>
    <t>勤務時間1</t>
  </si>
  <si>
    <t>例：始業8時00分 終業17時00分（適用日 月～金）</t>
  </si>
  <si>
    <t>勤務時間2</t>
  </si>
  <si>
    <t>必要な場合</t>
  </si>
  <si>
    <t>勤務時間3</t>
  </si>
  <si>
    <t>フレキシブルタイム</t>
  </si>
  <si>
    <t>始業・終業の各時間帯</t>
  </si>
  <si>
    <t>コアタイム</t>
  </si>
  <si>
    <t>設定がある場合</t>
  </si>
  <si>
    <t>事業場外みなしの始終業</t>
  </si>
  <si>
    <t>適用する場合</t>
  </si>
  <si>
    <t>裁量労働制の基本時刻</t>
  </si>
  <si>
    <t>労働時間の就業規則条文</t>
  </si>
  <si>
    <t>第○条～第○条等</t>
  </si>
  <si>
    <t>休憩時間</t>
  </si>
  <si>
    <t>分数を数値で入力</t>
  </si>
  <si>
    <t>所定時間外労働</t>
  </si>
  <si>
    <t>有／無</t>
  </si>
  <si>
    <t>休日労働</t>
  </si>
  <si>
    <t>短時間労働者用。有／無</t>
  </si>
  <si>
    <t>休日労働・週</t>
  </si>
  <si>
    <t>短時間労働者用。週の時間数</t>
  </si>
  <si>
    <t>休日労働・月</t>
  </si>
  <si>
    <t>短時間労働者用。1か月の日数・時間数</t>
  </si>
  <si>
    <t>休日労働・年</t>
  </si>
  <si>
    <t>短時間労働者用。1年の日数</t>
  </si>
  <si>
    <t>休日・勤務日・休暇</t>
  </si>
  <si>
    <t>定例休日</t>
  </si>
  <si>
    <t>毎週○曜日</t>
  </si>
  <si>
    <t>定例休日・その他</t>
  </si>
  <si>
    <t>国民の祝日以外にある場合</t>
  </si>
  <si>
    <t>非定例休日</t>
  </si>
  <si>
    <t>週・月当たり○日、その他</t>
  </si>
  <si>
    <t>年間休日数</t>
  </si>
  <si>
    <t>1年単位変形の場合等</t>
  </si>
  <si>
    <t>毎週の勤務日</t>
  </si>
  <si>
    <t>短時間労働者用。曜日等</t>
  </si>
  <si>
    <t>勤務日・その他</t>
  </si>
  <si>
    <t>短時間労働者用</t>
  </si>
  <si>
    <t>休日の就業規則条文</t>
  </si>
  <si>
    <t>6か月後の年休日数</t>
  </si>
  <si>
    <t>日数を数値で入力</t>
  </si>
  <si>
    <t>6か月以内の年休</t>
  </si>
  <si>
    <t>前倒し付与・経過月数</t>
  </si>
  <si>
    <t>該当する場合</t>
  </si>
  <si>
    <t>前倒し付与・日数</t>
  </si>
  <si>
    <t>時間単位年休</t>
  </si>
  <si>
    <t>代替休暇</t>
  </si>
  <si>
    <t>その他の有給休暇</t>
  </si>
  <si>
    <t>制度名・日数等</t>
  </si>
  <si>
    <t>その他の無給休暇</t>
  </si>
  <si>
    <t>休暇の就業規則条文</t>
  </si>
  <si>
    <t>賃金</t>
  </si>
  <si>
    <t>月給</t>
  </si>
  <si>
    <t>日給</t>
  </si>
  <si>
    <t>時間給</t>
  </si>
  <si>
    <t>出来高給・基本単価</t>
  </si>
  <si>
    <t>出来高給・保障給</t>
  </si>
  <si>
    <t>その他の基本賃金</t>
  </si>
  <si>
    <t>賃金等級等</t>
  </si>
  <si>
    <t>賃金規程の等級・号俸等</t>
  </si>
  <si>
    <t>手当1</t>
  </si>
  <si>
    <t>名称／金額／計算方法</t>
  </si>
  <si>
    <t>手当2</t>
  </si>
  <si>
    <t>手当3</t>
  </si>
  <si>
    <t>手当4</t>
  </si>
  <si>
    <t>時間外・月60時間以内</t>
  </si>
  <si>
    <t>割増率（％）</t>
  </si>
  <si>
    <t>時間外・月60時間超</t>
  </si>
  <si>
    <t>所定超</t>
  </si>
  <si>
    <t>法定休日</t>
  </si>
  <si>
    <t>法定外休日</t>
  </si>
  <si>
    <t>深夜</t>
  </si>
  <si>
    <t>賃金締切日</t>
  </si>
  <si>
    <t>例：毎月末日</t>
  </si>
  <si>
    <t>賃金支払日</t>
  </si>
  <si>
    <t>例：翌月25日</t>
  </si>
  <si>
    <t>賃金の支払方法</t>
  </si>
  <si>
    <t>口座振込等</t>
  </si>
  <si>
    <t>賃金控除</t>
  </si>
  <si>
    <t>無／有（項目）</t>
  </si>
  <si>
    <t>昇給</t>
  </si>
  <si>
    <t>無／有（時期・金額等）</t>
  </si>
  <si>
    <t>賞与</t>
  </si>
  <si>
    <t>退職金</t>
  </si>
  <si>
    <t>退職・その他</t>
  </si>
  <si>
    <t>定年制</t>
  </si>
  <si>
    <t>無／有（年齢）</t>
  </si>
  <si>
    <t>継続雇用制度</t>
  </si>
  <si>
    <t>創業支援等措置</t>
  </si>
  <si>
    <t>無／有（年齢・内容）</t>
  </si>
  <si>
    <t>自己都合退職</t>
  </si>
  <si>
    <t>何日前までに届け出るか</t>
  </si>
  <si>
    <t>解雇の事由・手続</t>
  </si>
  <si>
    <t>具体的に記載</t>
  </si>
  <si>
    <t>退職関係の就業規則条文</t>
  </si>
  <si>
    <t>社会保険の加入状況</t>
  </si>
  <si>
    <t>厚生年金・健康保険・その他</t>
  </si>
  <si>
    <t>雇用保険</t>
  </si>
  <si>
    <t>中小企業退職金共済</t>
  </si>
  <si>
    <t>加入している／加入していない</t>
  </si>
  <si>
    <t>企業年金制度</t>
  </si>
  <si>
    <t>無／有（制度名）</t>
  </si>
  <si>
    <t>待遇差説明の申出先</t>
  </si>
  <si>
    <t>部署名・担当者職氏名・連絡先</t>
  </si>
  <si>
    <t>雇用管理の相談窓口</t>
  </si>
  <si>
    <t>その他</t>
  </si>
  <si>
    <t>安全衛生、教育訓練、災害補償等</t>
  </si>
  <si>
    <t>具体的に適用する就業規則名</t>
  </si>
  <si>
    <t>短時間労働者用の欄</t>
  </si>
  <si>
    <t>就業規則を確認できる場所・方法</t>
  </si>
  <si>
    <t>備付場所、社内ポータル等</t>
  </si>
  <si>
    <t>公式原本：
一般労働者用 https://www.mhlw.go.jp/content/11200000/001697542.pdf
短時間労働者用 https://www.mhlw.go.jp/content/11200000/001697547.pdf</t>
  </si>
  <si>
    <t>（一般労働者用；常用、有期雇用型）</t>
  </si>
  <si>
    <t>労働条件通知書</t>
  </si>
  <si>
    <t>就業の場所</t>
  </si>
  <si>
    <t>従事すべき
業務の内容</t>
  </si>
  <si>
    <t>始業、終業の
時刻、休憩時
間、就業時転
換（(1)～(5)
のうち該当す
るもの一つに
○を付けるこ
と。）、所定時
間外労働の有
無に関する事
項</t>
  </si>
  <si>
    <t>休　　日</t>
  </si>
  <si>
    <t>休　　暇</t>
  </si>
  <si>
    <t>（次頁に続く）</t>
  </si>
  <si>
    <t>賃　　金</t>
  </si>
  <si>
    <t>退職に関す
る事項</t>
  </si>
  <si>
    <t>そ　の　他</t>
  </si>
  <si>
    <t>※　本通知書の交付は、労働基準法第15条に基づく労働条件の明示及び短時間労働者及び有期雇用労働者の雇用管理の改善等に関する法律（パートタイム・有期雇用労働法）第6条に基づく文書の交付を兼ねるものであること。</t>
  </si>
  <si>
    <t>※　労働条件通知書については、労使間の紛争の未然防止のため、保存しておくことをお勧めします。</t>
  </si>
  <si>
    <t>（短時間労働者用；常用、有期雇用型）</t>
  </si>
  <si>
    <t>休　日
及び
勤　務　日</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</si>
</sst>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quot;円&quot;"/>
    <numFmt numFmtId="177" formatCode="0.##"/>
  </numFmts>
  <fonts count="18">
    <font>
      <sz val="11"/>
      <name val="Carlito"/>
    </font>
    <font>
      <sz val="9"/>
      <color rgb="FF222222"/>
      <name val="Yu Gothic"/>
      <family val="3"/>
      <charset val="128"/>
    </font>
    <font>
      <b/>
      <sz val="16"/>
      <color rgb="FF000000"/>
      <name val="Yu Gothic"/>
      <family val="3"/>
      <charset val="128"/>
    </font>
    <font>
      <sz val="9"/>
      <color rgb="FF333333"/>
      <name val="Yu Gothic"/>
      <family val="3"/>
      <charset val="128"/>
    </font>
    <font>
      <b/>
      <sz val="10"/>
      <color rgb="FF000000"/>
      <name val="Yu Gothic"/>
      <family val="3"/>
      <charset val="128"/>
    </font>
    <font>
      <b/>
      <sz val="9"/>
      <color rgb="FF000000"/>
      <name val="Yu Gothic"/>
      <family val="3"/>
      <charset val="128"/>
    </font>
    <font>
      <sz val="9"/>
      <color rgb="FF000000"/>
      <name val="Yu Gothic"/>
      <family val="3"/>
      <charset val="128"/>
    </font>
    <font>
      <sz val="8"/>
      <color rgb="FF555555"/>
      <name val="Yu Gothic"/>
      <family val="3"/>
      <charset val="128"/>
    </font>
    <font>
      <sz val="8"/>
      <color rgb="FF444444"/>
      <name val="Yu Gothic"/>
      <family val="3"/>
      <charset val="128"/>
    </font>
    <font>
      <sz val="9"/>
      <color rgb="FF000000"/>
      <name val="Hiragino Mincho ProN"/>
      <charset val="128"/>
    </font>
    <font>
      <sz val="10"/>
      <color rgb="FF000000"/>
      <name val="Hiragino Mincho ProN"/>
      <charset val="128"/>
    </font>
    <font>
      <sz val="18"/>
      <color rgb="FF000000"/>
      <name val="Hiragino Mincho ProN"/>
      <charset val="128"/>
    </font>
    <font>
      <sz val="9"/>
      <color rgb="FF000000"/>
      <name val="Hiragino Mincho ProN"/>
      <charset val="128"/>
    </font>
    <font>
      <sz val="10"/>
      <color rgb="FF000000"/>
      <name val="Hiragino Mincho ProN"/>
      <charset val="128"/>
    </font>
    <font>
      <sz val="8"/>
      <color rgb="FF000000"/>
      <name val="Hiragino Mincho ProN"/>
      <charset val="128"/>
    </font>
    <font>
      <sz val="8"/>
      <color rgb="FF000000"/>
      <name val="Hiragino Mincho ProN"/>
      <charset val="128"/>
    </font>
    <font>
      <sz val="11"/>
      <name val="Carlito"/>
    </font>
    <font>
      <sz val="6"/>
      <name val="Tsukushi A Round Gothic Bold"/>
      <family val="3"/>
      <charset val="128"/>
    </font>
  </fonts>
  <fills count="6">
    <fill>
      <patternFill patternType="none"/>
    </fill>
    <fill>
      <patternFill patternType="gray125"/>
    </fill>
    <fill>
      <patternFill patternType="solid">
        <fgColor rgb="FFFFFFFF"/>
      </patternFill>
    </fill>
    <fill>
      <patternFill patternType="solid">
        <fgColor rgb="FFF7F7F7"/>
      </patternFill>
    </fill>
    <fill>
      <patternFill patternType="solid">
        <fgColor rgb="FFE7E6E6"/>
      </patternFill>
    </fill>
    <fill>
      <patternFill patternType="solid">
        <fgColor rgb="FFFFFBEA"/>
      </patternFill>
    </fill>
  </fills>
  <borders count="38">
    <border>
      <left/>
      <right/>
      <top/>
      <bottom/>
      <diagonal/>
    </border>
    <border>
      <left/>
      <right/>
      <top/>
      <bottom style="medium">
        <color rgb="FF000000"/>
      </bottom>
      <diagonal/>
    </border>
    <border>
      <left style="thin">
        <color rgb="FFA6A6A6"/>
      </left>
      <right/>
      <top style="thin">
        <color rgb="FFA6A6A6"/>
      </top>
      <bottom style="thin">
        <color rgb="FFA6A6A6"/>
      </bottom>
      <diagonal/>
    </border>
    <border>
      <left/>
      <right/>
      <top style="thin">
        <color rgb="FFA6A6A6"/>
      </top>
      <bottom style="thin">
        <color rgb="FFA6A6A6"/>
      </bottom>
      <diagonal/>
    </border>
    <border>
      <left/>
      <right style="thin">
        <color rgb="FFA6A6A6"/>
      </right>
      <top style="thin">
        <color rgb="FFA6A6A6"/>
      </top>
      <bottom style="thin">
        <color rgb="FFA6A6A6"/>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A6A6A6"/>
      </left>
      <right style="thin">
        <color rgb="FFA6A6A6"/>
      </right>
      <top style="thin">
        <color rgb="FFA6A6A6"/>
      </top>
      <bottom style="thin">
        <color rgb="FFA6A6A6"/>
      </bottom>
      <diagonal/>
    </border>
    <border>
      <left style="thin">
        <color rgb="FFD9D9D9"/>
      </left>
      <right style="thin">
        <color rgb="FFD9D9D9"/>
      </right>
      <top style="thin">
        <color rgb="FFD9D9D9"/>
      </top>
      <bottom style="thin">
        <color rgb="FFD9D9D9"/>
      </bottom>
      <diagonal/>
    </border>
    <border>
      <left style="thin">
        <color rgb="FFA6A6A6"/>
      </left>
      <right/>
      <top style="thin">
        <color rgb="FFA6A6A6"/>
      </top>
      <bottom/>
      <diagonal/>
    </border>
    <border>
      <left/>
      <right/>
      <top style="thin">
        <color rgb="FFA6A6A6"/>
      </top>
      <bottom/>
      <diagonal/>
    </border>
    <border>
      <left/>
      <right style="thin">
        <color rgb="FFA6A6A6"/>
      </right>
      <top style="thin">
        <color rgb="FFA6A6A6"/>
      </top>
      <bottom/>
      <diagonal/>
    </border>
    <border>
      <left style="thin">
        <color rgb="FFA6A6A6"/>
      </left>
      <right/>
      <top/>
      <bottom/>
      <diagonal/>
    </border>
    <border>
      <left/>
      <right style="thin">
        <color rgb="FFA6A6A6"/>
      </right>
      <top/>
      <bottom/>
      <diagonal/>
    </border>
    <border>
      <left style="thin">
        <color rgb="FFA6A6A6"/>
      </left>
      <right/>
      <top/>
      <bottom style="thin">
        <color rgb="FFA6A6A6"/>
      </bottom>
      <diagonal/>
    </border>
    <border>
      <left/>
      <right/>
      <top/>
      <bottom style="thin">
        <color rgb="FFA6A6A6"/>
      </bottom>
      <diagonal/>
    </border>
    <border>
      <left/>
      <right style="thin">
        <color rgb="FFA6A6A6"/>
      </right>
      <top/>
      <bottom style="thin">
        <color rgb="FFA6A6A6"/>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top/>
      <bottom/>
      <diagonal/>
    </border>
    <border>
      <left/>
      <right/>
      <top/>
      <bottom/>
      <diagonal/>
    </border>
    <border>
      <left/>
      <right/>
      <top/>
      <bottom/>
      <diagonal/>
    </border>
    <border>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dashed">
        <color rgb="FF000000"/>
      </left>
      <right style="dashed">
        <color rgb="FF000000"/>
      </right>
      <top style="dashed">
        <color rgb="FF000000"/>
      </top>
      <bottom style="dashed">
        <color rgb="FF000000"/>
      </bottom>
      <diagonal/>
    </border>
    <border>
      <left style="dashed">
        <color rgb="FFA6A6A6"/>
      </left>
      <right style="dashed">
        <color rgb="FFA6A6A6"/>
      </right>
      <top style="dashed">
        <color rgb="FFA6A6A6"/>
      </top>
      <bottom style="dashed">
        <color rgb="FFA6A6A6"/>
      </bottom>
      <diagonal/>
    </border>
  </borders>
  <cellStyleXfs count="2">
    <xf numFmtId="0" fontId="0" fillId="0" borderId="0"/>
    <xf numFmtId="0" fontId="16" fillId="0" borderId="0"/>
  </cellStyleXfs>
  <cellXfs count="56">
    <xf numFmtId="0" fontId="0" fillId="0" borderId="0" xfId="0"/>
    <xf numFmtId="0" fontId="1" fillId="0" borderId="0" xfId="1" applyFont="1" applyAlignment="1">
      <alignment vertical="center"/>
    </xf>
    <xf numFmtId="0" fontId="2" fillId="2" borderId="0" xfId="1" applyFont="1" applyFill="1" applyAlignment="1">
      <alignment horizontal="left" vertical="center" wrapText="1"/>
    </xf>
    <xf numFmtId="0" fontId="2" fillId="2" borderId="1" xfId="1" applyFont="1" applyFill="1" applyBorder="1" applyAlignment="1">
      <alignment horizontal="left" vertical="center" wrapText="1"/>
    </xf>
    <xf numFmtId="0" fontId="3" fillId="3" borderId="2" xfId="1" applyFont="1" applyFill="1" applyBorder="1" applyAlignment="1">
      <alignment vertical="center" wrapText="1"/>
    </xf>
    <xf numFmtId="0" fontId="3" fillId="3" borderId="3" xfId="1" applyFont="1" applyFill="1" applyBorder="1" applyAlignment="1">
      <alignment vertical="center" wrapText="1"/>
    </xf>
    <xf numFmtId="0" fontId="3" fillId="3" borderId="4" xfId="1" applyFont="1" applyFill="1" applyBorder="1" applyAlignment="1">
      <alignment vertical="center" wrapText="1"/>
    </xf>
    <xf numFmtId="0" fontId="4" fillId="4" borderId="5" xfId="1" applyFont="1" applyFill="1" applyBorder="1" applyAlignment="1">
      <alignment vertical="center" wrapText="1"/>
    </xf>
    <xf numFmtId="0" fontId="4" fillId="4" borderId="6" xfId="1" applyFont="1" applyFill="1" applyBorder="1" applyAlignment="1">
      <alignment vertical="center" wrapText="1"/>
    </xf>
    <xf numFmtId="0" fontId="4" fillId="4" borderId="7" xfId="1" applyFont="1" applyFill="1" applyBorder="1" applyAlignment="1">
      <alignment vertical="center" wrapText="1"/>
    </xf>
    <xf numFmtId="0" fontId="5" fillId="3" borderId="8" xfId="1" applyFont="1" applyFill="1" applyBorder="1" applyAlignment="1">
      <alignment vertical="center" wrapText="1"/>
    </xf>
    <xf numFmtId="31" fontId="6" fillId="5" borderId="8" xfId="1" applyNumberFormat="1" applyFont="1" applyFill="1" applyBorder="1" applyAlignment="1">
      <alignment horizontal="center" vertical="center" wrapText="1"/>
    </xf>
    <xf numFmtId="0" fontId="7" fillId="2" borderId="9" xfId="1" applyFont="1" applyFill="1" applyBorder="1" applyAlignment="1">
      <alignment vertical="center" wrapText="1"/>
    </xf>
    <xf numFmtId="0" fontId="6" fillId="5" borderId="8" xfId="1" applyFont="1" applyFill="1" applyBorder="1" applyAlignment="1">
      <alignment horizontal="left" vertical="center" wrapText="1"/>
    </xf>
    <xf numFmtId="1" fontId="6" fillId="5" borderId="8" xfId="1" applyNumberFormat="1" applyFont="1" applyFill="1" applyBorder="1" applyAlignment="1">
      <alignment horizontal="right" vertical="center" wrapText="1"/>
    </xf>
    <xf numFmtId="176" fontId="6" fillId="5" borderId="8" xfId="1" applyNumberFormat="1" applyFont="1" applyFill="1" applyBorder="1" applyAlignment="1">
      <alignment horizontal="right" vertical="center" wrapText="1"/>
    </xf>
    <xf numFmtId="177" fontId="6" fillId="5" borderId="8" xfId="1" applyNumberFormat="1" applyFont="1" applyFill="1" applyBorder="1" applyAlignment="1">
      <alignment horizontal="right" vertical="center" wrapText="1"/>
    </xf>
    <xf numFmtId="0" fontId="8" fillId="3" borderId="10" xfId="1" applyFont="1" applyFill="1" applyBorder="1" applyAlignment="1">
      <alignment vertical="center" wrapText="1"/>
    </xf>
    <xf numFmtId="0" fontId="8" fillId="3" borderId="11" xfId="1" applyFont="1" applyFill="1" applyBorder="1" applyAlignment="1">
      <alignment vertical="center" wrapText="1"/>
    </xf>
    <xf numFmtId="0" fontId="8" fillId="3" borderId="12" xfId="1" applyFont="1" applyFill="1" applyBorder="1" applyAlignment="1">
      <alignment vertical="center" wrapText="1"/>
    </xf>
    <xf numFmtId="0" fontId="8" fillId="3" borderId="13" xfId="1" applyFont="1" applyFill="1" applyBorder="1" applyAlignment="1">
      <alignment vertical="center" wrapText="1"/>
    </xf>
    <xf numFmtId="0" fontId="8" fillId="3" borderId="0" xfId="1" applyFont="1" applyFill="1" applyAlignment="1">
      <alignment vertical="center" wrapText="1"/>
    </xf>
    <xf numFmtId="0" fontId="8" fillId="3" borderId="14" xfId="1" applyFont="1" applyFill="1" applyBorder="1" applyAlignment="1">
      <alignment vertical="center" wrapText="1"/>
    </xf>
    <xf numFmtId="0" fontId="8" fillId="3" borderId="15" xfId="1" applyFont="1" applyFill="1" applyBorder="1" applyAlignment="1">
      <alignment vertical="center" wrapText="1"/>
    </xf>
    <xf numFmtId="0" fontId="8" fillId="3" borderId="16" xfId="1" applyFont="1" applyFill="1" applyBorder="1" applyAlignment="1">
      <alignment vertical="center" wrapText="1"/>
    </xf>
    <xf numFmtId="0" fontId="8" fillId="3" borderId="17" xfId="1" applyFont="1" applyFill="1" applyBorder="1" applyAlignment="1">
      <alignment vertical="center" wrapText="1"/>
    </xf>
    <xf numFmtId="0" fontId="10" fillId="2" borderId="0" xfId="1" applyFont="1" applyFill="1" applyAlignment="1">
      <alignment horizontal="right" wrapText="1"/>
    </xf>
    <xf numFmtId="0" fontId="11" fillId="2" borderId="0" xfId="1" applyFont="1" applyFill="1" applyAlignment="1">
      <alignment horizontal="center" vertical="center" wrapText="1"/>
    </xf>
    <xf numFmtId="0" fontId="9" fillId="2" borderId="0" xfId="1" applyFont="1" applyFill="1" applyAlignment="1">
      <alignment vertical="center" wrapText="1"/>
    </xf>
    <xf numFmtId="0" fontId="9" fillId="2" borderId="18" xfId="1" applyFont="1" applyFill="1" applyBorder="1" applyAlignment="1">
      <alignment vertical="center" wrapText="1"/>
    </xf>
    <xf numFmtId="0" fontId="9" fillId="2" borderId="19" xfId="1" applyFont="1" applyFill="1" applyBorder="1" applyAlignment="1">
      <alignment vertical="center" wrapText="1"/>
    </xf>
    <xf numFmtId="0" fontId="12" fillId="2" borderId="20" xfId="1" applyFont="1" applyFill="1" applyBorder="1" applyAlignment="1">
      <alignment horizontal="right" vertical="center" wrapText="1"/>
    </xf>
    <xf numFmtId="0" fontId="12" fillId="2" borderId="21" xfId="1" applyFont="1" applyFill="1" applyBorder="1" applyAlignment="1">
      <alignment horizontal="right" vertical="center" wrapText="1"/>
    </xf>
    <xf numFmtId="0" fontId="12" fillId="2" borderId="22" xfId="1" applyFont="1" applyFill="1" applyBorder="1" applyAlignment="1">
      <alignment horizontal="right" vertical="center" wrapText="1"/>
    </xf>
    <xf numFmtId="0" fontId="13" fillId="2" borderId="23" xfId="1" applyFont="1" applyFill="1" applyBorder="1" applyAlignment="1">
      <alignment horizontal="center" vertical="center" wrapText="1"/>
    </xf>
    <xf numFmtId="0" fontId="13" fillId="2" borderId="24" xfId="1" applyFont="1" applyFill="1" applyBorder="1" applyAlignment="1">
      <alignment horizontal="center" vertical="center" wrapText="1"/>
    </xf>
    <xf numFmtId="0" fontId="13" fillId="2" borderId="25" xfId="1" applyFont="1" applyFill="1" applyBorder="1" applyAlignment="1">
      <alignment horizontal="center" vertical="center" wrapText="1"/>
    </xf>
    <xf numFmtId="0" fontId="13" fillId="2" borderId="29" xfId="1" applyFont="1" applyFill="1" applyBorder="1" applyAlignment="1">
      <alignment horizontal="center" vertical="center" wrapText="1"/>
    </xf>
    <xf numFmtId="0" fontId="13" fillId="2" borderId="30" xfId="1" applyFont="1" applyFill="1" applyBorder="1" applyAlignment="1">
      <alignment horizontal="center" vertical="center" wrapText="1"/>
    </xf>
    <xf numFmtId="0" fontId="13" fillId="2" borderId="31" xfId="1" applyFont="1" applyFill="1" applyBorder="1" applyAlignment="1">
      <alignment horizontal="center" vertical="center" wrapText="1"/>
    </xf>
    <xf numFmtId="0" fontId="14" fillId="2" borderId="26" xfId="1" applyFont="1" applyFill="1" applyBorder="1" applyAlignment="1">
      <alignment horizontal="left" vertical="center" wrapText="1"/>
    </xf>
    <xf numFmtId="0" fontId="14" fillId="2" borderId="27" xfId="1" applyFont="1" applyFill="1" applyBorder="1" applyAlignment="1">
      <alignment horizontal="left" vertical="center" wrapText="1"/>
    </xf>
    <xf numFmtId="0" fontId="14" fillId="2" borderId="28" xfId="1" applyFont="1" applyFill="1" applyBorder="1" applyAlignment="1">
      <alignment horizontal="left" vertical="center" wrapText="1"/>
    </xf>
    <xf numFmtId="0" fontId="12" fillId="2" borderId="32" xfId="1" applyFont="1" applyFill="1" applyBorder="1" applyAlignment="1">
      <alignment horizontal="center" vertical="center" wrapText="1"/>
    </xf>
    <xf numFmtId="0" fontId="12" fillId="2" borderId="33" xfId="1" applyFont="1" applyFill="1" applyBorder="1" applyAlignment="1">
      <alignment horizontal="center" vertical="center" wrapText="1"/>
    </xf>
    <xf numFmtId="0" fontId="12" fillId="2" borderId="34" xfId="1" applyFont="1" applyFill="1" applyBorder="1" applyAlignment="1">
      <alignment horizontal="center" vertical="center" wrapText="1"/>
    </xf>
    <xf numFmtId="0" fontId="12" fillId="2" borderId="35" xfId="1" applyFont="1" applyFill="1" applyBorder="1" applyAlignment="1">
      <alignment horizontal="center" vertical="top" wrapText="1"/>
    </xf>
    <xf numFmtId="0" fontId="14" fillId="2" borderId="35" xfId="1" applyFont="1" applyFill="1" applyBorder="1" applyAlignment="1">
      <alignment horizontal="left" vertical="top" wrapText="1"/>
    </xf>
    <xf numFmtId="0" fontId="12" fillId="2" borderId="35" xfId="1" applyFont="1" applyFill="1" applyBorder="1" applyAlignment="1">
      <alignment horizontal="center" vertical="center" wrapText="1"/>
    </xf>
    <xf numFmtId="0" fontId="14" fillId="2" borderId="35" xfId="1" applyFont="1" applyFill="1" applyBorder="1" applyAlignment="1">
      <alignment horizontal="left" vertical="center" wrapText="1"/>
    </xf>
    <xf numFmtId="0" fontId="12" fillId="2" borderId="35" xfId="1" applyFont="1" applyFill="1" applyBorder="1" applyAlignment="1">
      <alignment horizontal="left" vertical="top" wrapText="1"/>
    </xf>
    <xf numFmtId="0" fontId="9" fillId="2" borderId="0" xfId="1" applyFont="1" applyFill="1" applyAlignment="1">
      <alignment horizontal="center" vertical="center" wrapText="1"/>
    </xf>
    <xf numFmtId="0" fontId="12" fillId="2" borderId="36" xfId="1" applyFont="1" applyFill="1" applyBorder="1" applyAlignment="1">
      <alignment horizontal="left" vertical="top" wrapText="1"/>
    </xf>
    <xf numFmtId="0" fontId="14" fillId="2" borderId="37" xfId="1" applyFont="1" applyFill="1" applyBorder="1" applyAlignment="1">
      <alignment horizontal="left" vertical="top" wrapText="1"/>
    </xf>
    <xf numFmtId="0" fontId="15" fillId="2" borderId="0" xfId="1" applyFont="1" applyFill="1" applyAlignment="1">
      <alignment vertical="top" wrapText="1"/>
    </xf>
    <xf numFmtId="0" fontId="14" fillId="2" borderId="35" xfId="1" applyFont="1" applyFill="1" applyBorder="1" applyAlignment="1">
      <alignment horizontal="center" vertical="top" wrapText="1"/>
    </xf>
  </cellXfs>
  <cellStyles count="2">
    <cellStyle name="Normal" xfId="1" xr:uid="{00000000-0005-0000-0000-000000000000}"/>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25"/>
  <sheetViews>
    <sheetView showGridLines="0" workbookViewId="0">
      <selection sqref="A1:J2"/>
    </sheetView>
  </sheetViews>
  <sheetFormatPr baseColWidth="10" defaultColWidth="8.83203125" defaultRowHeight="14"/>
  <cols>
    <col min="1" max="1" width="3" customWidth="1"/>
    <col min="2" max="2" width="25" customWidth="1"/>
    <col min="3" max="6" width="13" customWidth="1"/>
    <col min="7" max="10" width="14" customWidth="1"/>
  </cols>
  <sheetData>
    <row r="1" spans="1:10">
      <c r="A1" s="2" t="s">
        <v>0</v>
      </c>
      <c r="B1" s="2" t="s">
        <v>0</v>
      </c>
      <c r="C1" s="2" t="s">
        <v>0</v>
      </c>
      <c r="D1" s="2" t="s">
        <v>0</v>
      </c>
      <c r="E1" s="2" t="s">
        <v>0</v>
      </c>
      <c r="F1" s="2" t="s">
        <v>0</v>
      </c>
      <c r="G1" s="2" t="s">
        <v>0</v>
      </c>
      <c r="H1" s="2" t="s">
        <v>0</v>
      </c>
      <c r="I1" s="2" t="s">
        <v>0</v>
      </c>
      <c r="J1" s="2" t="s">
        <v>0</v>
      </c>
    </row>
    <row r="2" spans="1:10">
      <c r="A2" s="3" t="s">
        <v>0</v>
      </c>
      <c r="B2" s="3" t="s">
        <v>0</v>
      </c>
      <c r="C2" s="3" t="s">
        <v>0</v>
      </c>
      <c r="D2" s="3" t="s">
        <v>0</v>
      </c>
      <c r="E2" s="3" t="s">
        <v>0</v>
      </c>
      <c r="F2" s="3" t="s">
        <v>0</v>
      </c>
      <c r="G2" s="3" t="s">
        <v>0</v>
      </c>
      <c r="H2" s="3" t="s">
        <v>0</v>
      </c>
      <c r="I2" s="3" t="s">
        <v>0</v>
      </c>
      <c r="J2" s="3" t="s">
        <v>0</v>
      </c>
    </row>
    <row r="3" spans="1:10" ht="28" customHeight="1">
      <c r="A3" s="4" t="s">
        <v>1</v>
      </c>
      <c r="B3" s="5" t="s">
        <v>1</v>
      </c>
      <c r="C3" s="5" t="s">
        <v>1</v>
      </c>
      <c r="D3" s="5" t="s">
        <v>1</v>
      </c>
      <c r="E3" s="5" t="s">
        <v>1</v>
      </c>
      <c r="F3" s="5" t="s">
        <v>1</v>
      </c>
      <c r="G3" s="5" t="s">
        <v>1</v>
      </c>
      <c r="H3" s="5" t="s">
        <v>1</v>
      </c>
      <c r="I3" s="5" t="s">
        <v>1</v>
      </c>
      <c r="J3" s="6" t="s">
        <v>1</v>
      </c>
    </row>
    <row r="4" spans="1:10">
      <c r="A4" s="1"/>
      <c r="B4" s="1"/>
      <c r="C4" s="1"/>
      <c r="D4" s="1"/>
      <c r="E4" s="1"/>
      <c r="F4" s="1"/>
      <c r="G4" s="1"/>
      <c r="H4" s="1"/>
      <c r="I4" s="1"/>
      <c r="J4" s="1"/>
    </row>
    <row r="5" spans="1:10" ht="20" customHeight="1">
      <c r="A5" s="7" t="s">
        <v>2</v>
      </c>
      <c r="B5" s="8" t="s">
        <v>2</v>
      </c>
      <c r="C5" s="8" t="s">
        <v>2</v>
      </c>
      <c r="D5" s="8" t="s">
        <v>2</v>
      </c>
      <c r="E5" s="8" t="s">
        <v>2</v>
      </c>
      <c r="F5" s="8" t="s">
        <v>2</v>
      </c>
      <c r="G5" s="8" t="s">
        <v>2</v>
      </c>
      <c r="H5" s="8" t="s">
        <v>2</v>
      </c>
      <c r="I5" s="8" t="s">
        <v>2</v>
      </c>
      <c r="J5" s="9" t="s">
        <v>2</v>
      </c>
    </row>
    <row r="6" spans="1:10" ht="26" customHeight="1">
      <c r="A6" s="10" t="s">
        <v>3</v>
      </c>
      <c r="B6" s="10" t="s">
        <v>3</v>
      </c>
      <c r="C6" s="11"/>
      <c r="D6" s="11"/>
      <c r="E6" s="11"/>
      <c r="F6" s="11"/>
      <c r="G6" s="12" t="s">
        <v>4</v>
      </c>
      <c r="H6" s="12" t="s">
        <v>4</v>
      </c>
      <c r="I6" s="12" t="s">
        <v>4</v>
      </c>
      <c r="J6" s="12" t="s">
        <v>4</v>
      </c>
    </row>
    <row r="7" spans="1:10" ht="26" customHeight="1">
      <c r="A7" s="10" t="s">
        <v>5</v>
      </c>
      <c r="B7" s="10" t="s">
        <v>5</v>
      </c>
      <c r="C7" s="13"/>
      <c r="D7" s="13"/>
      <c r="E7" s="13"/>
      <c r="F7" s="13"/>
      <c r="G7" s="12" t="s">
        <v>6</v>
      </c>
      <c r="H7" s="12" t="s">
        <v>6</v>
      </c>
      <c r="I7" s="12" t="s">
        <v>6</v>
      </c>
      <c r="J7" s="12" t="s">
        <v>6</v>
      </c>
    </row>
    <row r="8" spans="1:10" ht="32" customHeight="1">
      <c r="A8" s="10" t="s">
        <v>7</v>
      </c>
      <c r="B8" s="10" t="s">
        <v>7</v>
      </c>
      <c r="C8" s="13"/>
      <c r="D8" s="13"/>
      <c r="E8" s="13"/>
      <c r="F8" s="13"/>
      <c r="G8" s="12" t="s">
        <v>8</v>
      </c>
      <c r="H8" s="12" t="s">
        <v>8</v>
      </c>
      <c r="I8" s="12" t="s">
        <v>8</v>
      </c>
      <c r="J8" s="12" t="s">
        <v>8</v>
      </c>
    </row>
    <row r="9" spans="1:10" ht="38" customHeight="1">
      <c r="A9" s="10" t="s">
        <v>9</v>
      </c>
      <c r="B9" s="10" t="s">
        <v>9</v>
      </c>
      <c r="C9" s="13"/>
      <c r="D9" s="13"/>
      <c r="E9" s="13"/>
      <c r="F9" s="13"/>
      <c r="G9" s="12" t="s">
        <v>10</v>
      </c>
      <c r="H9" s="12" t="s">
        <v>10</v>
      </c>
      <c r="I9" s="12" t="s">
        <v>10</v>
      </c>
      <c r="J9" s="12" t="s">
        <v>10</v>
      </c>
    </row>
    <row r="10" spans="1:10" ht="26" customHeight="1">
      <c r="A10" s="10" t="s">
        <v>11</v>
      </c>
      <c r="B10" s="10" t="s">
        <v>11</v>
      </c>
      <c r="C10" s="13"/>
      <c r="D10" s="13"/>
      <c r="E10" s="13"/>
      <c r="F10" s="13"/>
      <c r="G10" s="12" t="s">
        <v>12</v>
      </c>
      <c r="H10" s="12" t="s">
        <v>12</v>
      </c>
      <c r="I10" s="12" t="s">
        <v>12</v>
      </c>
      <c r="J10" s="12" t="s">
        <v>12</v>
      </c>
    </row>
    <row r="11" spans="1:10" ht="26" customHeight="1">
      <c r="A11" s="10" t="s">
        <v>13</v>
      </c>
      <c r="B11" s="10" t="s">
        <v>13</v>
      </c>
      <c r="C11" s="13"/>
      <c r="D11" s="13"/>
      <c r="E11" s="13"/>
      <c r="F11" s="13"/>
      <c r="G11" s="12" t="s">
        <v>14</v>
      </c>
      <c r="H11" s="12" t="s">
        <v>14</v>
      </c>
      <c r="I11" s="12" t="s">
        <v>14</v>
      </c>
      <c r="J11" s="12" t="s">
        <v>14</v>
      </c>
    </row>
    <row r="12" spans="1:10" ht="20" customHeight="1">
      <c r="A12" s="7" t="s">
        <v>15</v>
      </c>
      <c r="B12" s="8" t="s">
        <v>15</v>
      </c>
      <c r="C12" s="8" t="s">
        <v>15</v>
      </c>
      <c r="D12" s="8" t="s">
        <v>15</v>
      </c>
      <c r="E12" s="8" t="s">
        <v>15</v>
      </c>
      <c r="F12" s="8" t="s">
        <v>15</v>
      </c>
      <c r="G12" s="8" t="s">
        <v>15</v>
      </c>
      <c r="H12" s="8" t="s">
        <v>15</v>
      </c>
      <c r="I12" s="8" t="s">
        <v>15</v>
      </c>
      <c r="J12" s="9" t="s">
        <v>15</v>
      </c>
    </row>
    <row r="13" spans="1:10" ht="26" customHeight="1">
      <c r="A13" s="10" t="s">
        <v>16</v>
      </c>
      <c r="B13" s="10" t="s">
        <v>16</v>
      </c>
      <c r="C13" s="13"/>
      <c r="D13" s="13"/>
      <c r="E13" s="13"/>
      <c r="F13" s="13"/>
      <c r="G13" s="12" t="s">
        <v>17</v>
      </c>
      <c r="H13" s="12" t="s">
        <v>17</v>
      </c>
      <c r="I13" s="12" t="s">
        <v>17</v>
      </c>
      <c r="J13" s="12" t="s">
        <v>17</v>
      </c>
    </row>
    <row r="14" spans="1:10" ht="26" customHeight="1">
      <c r="A14" s="10" t="s">
        <v>18</v>
      </c>
      <c r="B14" s="10" t="s">
        <v>18</v>
      </c>
      <c r="C14" s="11"/>
      <c r="D14" s="11"/>
      <c r="E14" s="11"/>
      <c r="F14" s="11"/>
      <c r="G14" s="12" t="s">
        <v>19</v>
      </c>
      <c r="H14" s="12" t="s">
        <v>19</v>
      </c>
      <c r="I14" s="12" t="s">
        <v>19</v>
      </c>
      <c r="J14" s="12" t="s">
        <v>19</v>
      </c>
    </row>
    <row r="15" spans="1:10" ht="26" customHeight="1">
      <c r="A15" s="10" t="s">
        <v>20</v>
      </c>
      <c r="B15" s="10" t="s">
        <v>20</v>
      </c>
      <c r="C15" s="11"/>
      <c r="D15" s="11"/>
      <c r="E15" s="11"/>
      <c r="F15" s="11"/>
      <c r="G15" s="12" t="s">
        <v>19</v>
      </c>
      <c r="H15" s="12" t="s">
        <v>19</v>
      </c>
      <c r="I15" s="12" t="s">
        <v>19</v>
      </c>
      <c r="J15" s="12" t="s">
        <v>19</v>
      </c>
    </row>
    <row r="16" spans="1:10" ht="26" customHeight="1">
      <c r="A16" s="10" t="s">
        <v>21</v>
      </c>
      <c r="B16" s="10" t="s">
        <v>21</v>
      </c>
      <c r="C16" s="13"/>
      <c r="D16" s="13"/>
      <c r="E16" s="13"/>
      <c r="F16" s="13"/>
      <c r="G16" s="12" t="s">
        <v>19</v>
      </c>
      <c r="H16" s="12" t="s">
        <v>19</v>
      </c>
      <c r="I16" s="12" t="s">
        <v>19</v>
      </c>
      <c r="J16" s="12" t="s">
        <v>19</v>
      </c>
    </row>
    <row r="17" spans="1:10" ht="32" customHeight="1">
      <c r="A17" s="10" t="s">
        <v>22</v>
      </c>
      <c r="B17" s="10" t="s">
        <v>22</v>
      </c>
      <c r="C17" s="13"/>
      <c r="D17" s="13"/>
      <c r="E17" s="13"/>
      <c r="F17" s="13"/>
      <c r="G17" s="12" t="s">
        <v>23</v>
      </c>
      <c r="H17" s="12" t="s">
        <v>23</v>
      </c>
      <c r="I17" s="12" t="s">
        <v>23</v>
      </c>
      <c r="J17" s="12" t="s">
        <v>23</v>
      </c>
    </row>
    <row r="18" spans="1:10" ht="44" customHeight="1">
      <c r="A18" s="10" t="s">
        <v>24</v>
      </c>
      <c r="B18" s="10" t="s">
        <v>24</v>
      </c>
      <c r="C18" s="13"/>
      <c r="D18" s="13"/>
      <c r="E18" s="13"/>
      <c r="F18" s="13"/>
      <c r="G18" s="12" t="s">
        <v>25</v>
      </c>
      <c r="H18" s="12" t="s">
        <v>25</v>
      </c>
      <c r="I18" s="12" t="s">
        <v>25</v>
      </c>
      <c r="J18" s="12" t="s">
        <v>25</v>
      </c>
    </row>
    <row r="19" spans="1:10" ht="26" customHeight="1">
      <c r="A19" s="10" t="s">
        <v>26</v>
      </c>
      <c r="B19" s="10" t="s">
        <v>26</v>
      </c>
      <c r="C19" s="13"/>
      <c r="D19" s="13"/>
      <c r="E19" s="13"/>
      <c r="F19" s="13"/>
      <c r="G19" s="12" t="s">
        <v>27</v>
      </c>
      <c r="H19" s="12" t="s">
        <v>27</v>
      </c>
      <c r="I19" s="12" t="s">
        <v>27</v>
      </c>
      <c r="J19" s="12" t="s">
        <v>27</v>
      </c>
    </row>
    <row r="20" spans="1:10" ht="26" customHeight="1">
      <c r="A20" s="10" t="s">
        <v>28</v>
      </c>
      <c r="B20" s="10" t="s">
        <v>28</v>
      </c>
      <c r="C20" s="14"/>
      <c r="D20" s="14"/>
      <c r="E20" s="14"/>
      <c r="F20" s="14"/>
      <c r="G20" s="12" t="s">
        <v>29</v>
      </c>
      <c r="H20" s="12" t="s">
        <v>29</v>
      </c>
      <c r="I20" s="12" t="s">
        <v>29</v>
      </c>
      <c r="J20" s="12" t="s">
        <v>29</v>
      </c>
    </row>
    <row r="21" spans="1:10" ht="26" customHeight="1">
      <c r="A21" s="10" t="s">
        <v>30</v>
      </c>
      <c r="B21" s="10" t="s">
        <v>30</v>
      </c>
      <c r="C21" s="14"/>
      <c r="D21" s="14"/>
      <c r="E21" s="14"/>
      <c r="F21" s="14"/>
      <c r="G21" s="12" t="s">
        <v>31</v>
      </c>
      <c r="H21" s="12" t="s">
        <v>31</v>
      </c>
      <c r="I21" s="12" t="s">
        <v>31</v>
      </c>
      <c r="J21" s="12" t="s">
        <v>31</v>
      </c>
    </row>
    <row r="22" spans="1:10" ht="26" customHeight="1">
      <c r="A22" s="10" t="s">
        <v>32</v>
      </c>
      <c r="B22" s="10" t="s">
        <v>32</v>
      </c>
      <c r="C22" s="11"/>
      <c r="D22" s="11"/>
      <c r="E22" s="11"/>
      <c r="F22" s="11"/>
      <c r="G22" s="12" t="s">
        <v>33</v>
      </c>
      <c r="H22" s="12" t="s">
        <v>33</v>
      </c>
      <c r="I22" s="12" t="s">
        <v>33</v>
      </c>
      <c r="J22" s="12" t="s">
        <v>33</v>
      </c>
    </row>
    <row r="23" spans="1:10" ht="26" customHeight="1">
      <c r="A23" s="10" t="s">
        <v>34</v>
      </c>
      <c r="B23" s="10" t="s">
        <v>34</v>
      </c>
      <c r="C23" s="13"/>
      <c r="D23" s="13"/>
      <c r="E23" s="13"/>
      <c r="F23" s="13"/>
      <c r="G23" s="12" t="s">
        <v>35</v>
      </c>
      <c r="H23" s="12" t="s">
        <v>35</v>
      </c>
      <c r="I23" s="12" t="s">
        <v>35</v>
      </c>
      <c r="J23" s="12" t="s">
        <v>35</v>
      </c>
    </row>
    <row r="24" spans="1:10" ht="26" customHeight="1">
      <c r="A24" s="10" t="s">
        <v>36</v>
      </c>
      <c r="B24" s="10" t="s">
        <v>36</v>
      </c>
      <c r="C24" s="13"/>
      <c r="D24" s="13"/>
      <c r="E24" s="13"/>
      <c r="F24" s="13"/>
      <c r="G24" s="12" t="s">
        <v>37</v>
      </c>
      <c r="H24" s="12" t="s">
        <v>37</v>
      </c>
      <c r="I24" s="12" t="s">
        <v>37</v>
      </c>
      <c r="J24" s="12" t="s">
        <v>37</v>
      </c>
    </row>
    <row r="25" spans="1:10" ht="26" customHeight="1">
      <c r="A25" s="10" t="s">
        <v>38</v>
      </c>
      <c r="B25" s="10" t="s">
        <v>38</v>
      </c>
      <c r="C25" s="14"/>
      <c r="D25" s="14"/>
      <c r="E25" s="14"/>
      <c r="F25" s="14"/>
      <c r="G25" s="12" t="s">
        <v>39</v>
      </c>
      <c r="H25" s="12" t="s">
        <v>39</v>
      </c>
      <c r="I25" s="12" t="s">
        <v>39</v>
      </c>
      <c r="J25" s="12" t="s">
        <v>39</v>
      </c>
    </row>
    <row r="26" spans="1:10" ht="20" customHeight="1">
      <c r="A26" s="7" t="s">
        <v>40</v>
      </c>
      <c r="B26" s="8" t="s">
        <v>40</v>
      </c>
      <c r="C26" s="8" t="s">
        <v>40</v>
      </c>
      <c r="D26" s="8" t="s">
        <v>40</v>
      </c>
      <c r="E26" s="8" t="s">
        <v>40</v>
      </c>
      <c r="F26" s="8" t="s">
        <v>40</v>
      </c>
      <c r="G26" s="8" t="s">
        <v>40</v>
      </c>
      <c r="H26" s="8" t="s">
        <v>40</v>
      </c>
      <c r="I26" s="8" t="s">
        <v>40</v>
      </c>
      <c r="J26" s="9" t="s">
        <v>40</v>
      </c>
    </row>
    <row r="27" spans="1:10" ht="42" customHeight="1">
      <c r="A27" s="10" t="s">
        <v>41</v>
      </c>
      <c r="B27" s="10" t="s">
        <v>41</v>
      </c>
      <c r="C27" s="13"/>
      <c r="D27" s="13"/>
      <c r="E27" s="13"/>
      <c r="F27" s="13"/>
      <c r="G27" s="12" t="s">
        <v>42</v>
      </c>
      <c r="H27" s="12" t="s">
        <v>42</v>
      </c>
      <c r="I27" s="12" t="s">
        <v>42</v>
      </c>
      <c r="J27" s="12" t="s">
        <v>42</v>
      </c>
    </row>
    <row r="28" spans="1:10" ht="42" customHeight="1">
      <c r="A28" s="10" t="s">
        <v>43</v>
      </c>
      <c r="B28" s="10" t="s">
        <v>43</v>
      </c>
      <c r="C28" s="13"/>
      <c r="D28" s="13"/>
      <c r="E28" s="13"/>
      <c r="F28" s="13"/>
      <c r="G28" s="12" t="s">
        <v>44</v>
      </c>
      <c r="H28" s="12" t="s">
        <v>44</v>
      </c>
      <c r="I28" s="12" t="s">
        <v>44</v>
      </c>
      <c r="J28" s="12" t="s">
        <v>44</v>
      </c>
    </row>
    <row r="29" spans="1:10" ht="50" customHeight="1">
      <c r="A29" s="10" t="s">
        <v>45</v>
      </c>
      <c r="B29" s="10" t="s">
        <v>45</v>
      </c>
      <c r="C29" s="13"/>
      <c r="D29" s="13"/>
      <c r="E29" s="13"/>
      <c r="F29" s="13"/>
      <c r="G29" s="12" t="s">
        <v>46</v>
      </c>
      <c r="H29" s="12" t="s">
        <v>46</v>
      </c>
      <c r="I29" s="12" t="s">
        <v>46</v>
      </c>
      <c r="J29" s="12" t="s">
        <v>46</v>
      </c>
    </row>
    <row r="30" spans="1:10" ht="46" customHeight="1">
      <c r="A30" s="10" t="s">
        <v>47</v>
      </c>
      <c r="B30" s="10" t="s">
        <v>47</v>
      </c>
      <c r="C30" s="13"/>
      <c r="D30" s="13"/>
      <c r="E30" s="13"/>
      <c r="F30" s="13"/>
      <c r="G30" s="12" t="s">
        <v>44</v>
      </c>
      <c r="H30" s="12" t="s">
        <v>44</v>
      </c>
      <c r="I30" s="12" t="s">
        <v>44</v>
      </c>
      <c r="J30" s="12" t="s">
        <v>44</v>
      </c>
    </row>
    <row r="31" spans="1:10" ht="38" customHeight="1">
      <c r="A31" s="10" t="s">
        <v>48</v>
      </c>
      <c r="B31" s="10" t="s">
        <v>48</v>
      </c>
      <c r="C31" s="13"/>
      <c r="D31" s="13"/>
      <c r="E31" s="13"/>
      <c r="F31" s="13"/>
      <c r="G31" s="12" t="s">
        <v>49</v>
      </c>
      <c r="H31" s="12" t="s">
        <v>49</v>
      </c>
      <c r="I31" s="12" t="s">
        <v>49</v>
      </c>
      <c r="J31" s="12" t="s">
        <v>49</v>
      </c>
    </row>
    <row r="32" spans="1:10" ht="26" customHeight="1">
      <c r="A32" s="10" t="s">
        <v>50</v>
      </c>
      <c r="B32" s="10" t="s">
        <v>50</v>
      </c>
      <c r="C32" s="11"/>
      <c r="D32" s="11"/>
      <c r="E32" s="11"/>
      <c r="F32" s="11"/>
      <c r="G32" s="12" t="s">
        <v>49</v>
      </c>
      <c r="H32" s="12" t="s">
        <v>49</v>
      </c>
      <c r="I32" s="12" t="s">
        <v>49</v>
      </c>
      <c r="J32" s="12" t="s">
        <v>49</v>
      </c>
    </row>
    <row r="33" spans="1:10" ht="26" customHeight="1">
      <c r="A33" s="10" t="s">
        <v>51</v>
      </c>
      <c r="B33" s="10" t="s">
        <v>51</v>
      </c>
      <c r="C33" s="11"/>
      <c r="D33" s="11"/>
      <c r="E33" s="11"/>
      <c r="F33" s="11"/>
      <c r="G33" s="12" t="s">
        <v>49</v>
      </c>
      <c r="H33" s="12" t="s">
        <v>49</v>
      </c>
      <c r="I33" s="12" t="s">
        <v>49</v>
      </c>
      <c r="J33" s="12" t="s">
        <v>49</v>
      </c>
    </row>
    <row r="34" spans="1:10" ht="20" customHeight="1">
      <c r="A34" s="7" t="s">
        <v>52</v>
      </c>
      <c r="B34" s="8" t="s">
        <v>52</v>
      </c>
      <c r="C34" s="8" t="s">
        <v>52</v>
      </c>
      <c r="D34" s="8" t="s">
        <v>52</v>
      </c>
      <c r="E34" s="8" t="s">
        <v>52</v>
      </c>
      <c r="F34" s="8" t="s">
        <v>52</v>
      </c>
      <c r="G34" s="8" t="s">
        <v>52</v>
      </c>
      <c r="H34" s="8" t="s">
        <v>52</v>
      </c>
      <c r="I34" s="8" t="s">
        <v>52</v>
      </c>
      <c r="J34" s="9" t="s">
        <v>52</v>
      </c>
    </row>
    <row r="35" spans="1:10" ht="26" customHeight="1">
      <c r="A35" s="10" t="s">
        <v>53</v>
      </c>
      <c r="B35" s="10" t="s">
        <v>53</v>
      </c>
      <c r="C35" s="13"/>
      <c r="D35" s="13"/>
      <c r="E35" s="13"/>
      <c r="F35" s="13"/>
      <c r="G35" s="12" t="s">
        <v>54</v>
      </c>
      <c r="H35" s="12" t="s">
        <v>54</v>
      </c>
      <c r="I35" s="12" t="s">
        <v>54</v>
      </c>
      <c r="J35" s="12" t="s">
        <v>54</v>
      </c>
    </row>
    <row r="36" spans="1:10" ht="26" customHeight="1">
      <c r="A36" s="10" t="s">
        <v>55</v>
      </c>
      <c r="B36" s="10" t="s">
        <v>55</v>
      </c>
      <c r="C36" s="13"/>
      <c r="D36" s="13"/>
      <c r="E36" s="13"/>
      <c r="F36" s="13"/>
      <c r="G36" s="12" t="s">
        <v>56</v>
      </c>
      <c r="H36" s="12" t="s">
        <v>56</v>
      </c>
      <c r="I36" s="12" t="s">
        <v>56</v>
      </c>
      <c r="J36" s="12" t="s">
        <v>56</v>
      </c>
    </row>
    <row r="37" spans="1:10" ht="26" customHeight="1">
      <c r="A37" s="10" t="s">
        <v>57</v>
      </c>
      <c r="B37" s="10" t="s">
        <v>57</v>
      </c>
      <c r="C37" s="13"/>
      <c r="D37" s="13"/>
      <c r="E37" s="13"/>
      <c r="F37" s="13"/>
      <c r="G37" s="12" t="s">
        <v>58</v>
      </c>
      <c r="H37" s="12" t="s">
        <v>58</v>
      </c>
      <c r="I37" s="12" t="s">
        <v>58</v>
      </c>
      <c r="J37" s="12" t="s">
        <v>58</v>
      </c>
    </row>
    <row r="38" spans="1:10" ht="40" customHeight="1">
      <c r="A38" s="10" t="s">
        <v>59</v>
      </c>
      <c r="B38" s="10" t="s">
        <v>59</v>
      </c>
      <c r="C38" s="13"/>
      <c r="D38" s="13"/>
      <c r="E38" s="13"/>
      <c r="F38" s="13"/>
      <c r="G38" s="12" t="s">
        <v>60</v>
      </c>
      <c r="H38" s="12" t="s">
        <v>60</v>
      </c>
      <c r="I38" s="12" t="s">
        <v>60</v>
      </c>
      <c r="J38" s="12" t="s">
        <v>60</v>
      </c>
    </row>
    <row r="39" spans="1:10" ht="40" customHeight="1">
      <c r="A39" s="10" t="s">
        <v>61</v>
      </c>
      <c r="B39" s="10" t="s">
        <v>61</v>
      </c>
      <c r="C39" s="13"/>
      <c r="D39" s="13"/>
      <c r="E39" s="13"/>
      <c r="F39" s="13"/>
      <c r="G39" s="12" t="s">
        <v>62</v>
      </c>
      <c r="H39" s="12" t="s">
        <v>62</v>
      </c>
      <c r="I39" s="12" t="s">
        <v>62</v>
      </c>
      <c r="J39" s="12" t="s">
        <v>62</v>
      </c>
    </row>
    <row r="40" spans="1:10" ht="40" customHeight="1">
      <c r="A40" s="10" t="s">
        <v>63</v>
      </c>
      <c r="B40" s="10" t="s">
        <v>63</v>
      </c>
      <c r="C40" s="13"/>
      <c r="D40" s="13"/>
      <c r="E40" s="13"/>
      <c r="F40" s="13"/>
      <c r="G40" s="12" t="s">
        <v>62</v>
      </c>
      <c r="H40" s="12" t="s">
        <v>62</v>
      </c>
      <c r="I40" s="12" t="s">
        <v>62</v>
      </c>
      <c r="J40" s="12" t="s">
        <v>62</v>
      </c>
    </row>
    <row r="41" spans="1:10" ht="46" customHeight="1">
      <c r="A41" s="10" t="s">
        <v>64</v>
      </c>
      <c r="B41" s="10" t="s">
        <v>64</v>
      </c>
      <c r="C41" s="13"/>
      <c r="D41" s="13"/>
      <c r="E41" s="13"/>
      <c r="F41" s="13"/>
      <c r="G41" s="12" t="s">
        <v>65</v>
      </c>
      <c r="H41" s="12" t="s">
        <v>65</v>
      </c>
      <c r="I41" s="12" t="s">
        <v>65</v>
      </c>
      <c r="J41" s="12" t="s">
        <v>65</v>
      </c>
    </row>
    <row r="42" spans="1:10" ht="32" customHeight="1">
      <c r="A42" s="10" t="s">
        <v>66</v>
      </c>
      <c r="B42" s="10" t="s">
        <v>66</v>
      </c>
      <c r="C42" s="13"/>
      <c r="D42" s="13"/>
      <c r="E42" s="13"/>
      <c r="F42" s="13"/>
      <c r="G42" s="12" t="s">
        <v>67</v>
      </c>
      <c r="H42" s="12" t="s">
        <v>67</v>
      </c>
      <c r="I42" s="12" t="s">
        <v>67</v>
      </c>
      <c r="J42" s="12" t="s">
        <v>67</v>
      </c>
    </row>
    <row r="43" spans="1:10" ht="40" customHeight="1">
      <c r="A43" s="10" t="s">
        <v>68</v>
      </c>
      <c r="B43" s="10" t="s">
        <v>68</v>
      </c>
      <c r="C43" s="13"/>
      <c r="D43" s="13"/>
      <c r="E43" s="13"/>
      <c r="F43" s="13"/>
      <c r="G43" s="12" t="s">
        <v>69</v>
      </c>
      <c r="H43" s="12" t="s">
        <v>69</v>
      </c>
      <c r="I43" s="12" t="s">
        <v>69</v>
      </c>
      <c r="J43" s="12" t="s">
        <v>69</v>
      </c>
    </row>
    <row r="44" spans="1:10" ht="40" customHeight="1">
      <c r="A44" s="10" t="s">
        <v>70</v>
      </c>
      <c r="B44" s="10" t="s">
        <v>70</v>
      </c>
      <c r="C44" s="13"/>
      <c r="D44" s="13"/>
      <c r="E44" s="13"/>
      <c r="F44" s="13"/>
      <c r="G44" s="12" t="s">
        <v>69</v>
      </c>
      <c r="H44" s="12" t="s">
        <v>69</v>
      </c>
      <c r="I44" s="12" t="s">
        <v>69</v>
      </c>
      <c r="J44" s="12" t="s">
        <v>69</v>
      </c>
    </row>
    <row r="45" spans="1:10" ht="38" customHeight="1">
      <c r="A45" s="10" t="s">
        <v>71</v>
      </c>
      <c r="B45" s="10" t="s">
        <v>71</v>
      </c>
      <c r="C45" s="13"/>
      <c r="D45" s="13"/>
      <c r="E45" s="13"/>
      <c r="F45" s="13"/>
      <c r="G45" s="12" t="s">
        <v>72</v>
      </c>
      <c r="H45" s="12" t="s">
        <v>72</v>
      </c>
      <c r="I45" s="12" t="s">
        <v>72</v>
      </c>
      <c r="J45" s="12" t="s">
        <v>72</v>
      </c>
    </row>
    <row r="46" spans="1:10" ht="26" customHeight="1">
      <c r="A46" s="10" t="s">
        <v>73</v>
      </c>
      <c r="B46" s="10" t="s">
        <v>73</v>
      </c>
      <c r="C46" s="14"/>
      <c r="D46" s="14"/>
      <c r="E46" s="14"/>
      <c r="F46" s="14"/>
      <c r="G46" s="12" t="s">
        <v>74</v>
      </c>
      <c r="H46" s="12" t="s">
        <v>74</v>
      </c>
      <c r="I46" s="12" t="s">
        <v>74</v>
      </c>
      <c r="J46" s="12" t="s">
        <v>74</v>
      </c>
    </row>
    <row r="47" spans="1:10" ht="26" customHeight="1">
      <c r="A47" s="10" t="s">
        <v>75</v>
      </c>
      <c r="B47" s="10" t="s">
        <v>75</v>
      </c>
      <c r="C47" s="13"/>
      <c r="D47" s="13"/>
      <c r="E47" s="13"/>
      <c r="F47" s="13"/>
      <c r="G47" s="12" t="s">
        <v>76</v>
      </c>
      <c r="H47" s="12" t="s">
        <v>76</v>
      </c>
      <c r="I47" s="12" t="s">
        <v>76</v>
      </c>
      <c r="J47" s="12" t="s">
        <v>76</v>
      </c>
    </row>
    <row r="48" spans="1:10" ht="26" customHeight="1">
      <c r="A48" s="10" t="s">
        <v>77</v>
      </c>
      <c r="B48" s="10" t="s">
        <v>77</v>
      </c>
      <c r="C48" s="13"/>
      <c r="D48" s="13"/>
      <c r="E48" s="13"/>
      <c r="F48" s="13"/>
      <c r="G48" s="12" t="s">
        <v>78</v>
      </c>
      <c r="H48" s="12" t="s">
        <v>78</v>
      </c>
      <c r="I48" s="12" t="s">
        <v>78</v>
      </c>
      <c r="J48" s="12" t="s">
        <v>78</v>
      </c>
    </row>
    <row r="49" spans="1:10" ht="26" customHeight="1">
      <c r="A49" s="10" t="s">
        <v>79</v>
      </c>
      <c r="B49" s="10" t="s">
        <v>79</v>
      </c>
      <c r="C49" s="13"/>
      <c r="D49" s="13"/>
      <c r="E49" s="13"/>
      <c r="F49" s="13"/>
      <c r="G49" s="12" t="s">
        <v>80</v>
      </c>
      <c r="H49" s="12" t="s">
        <v>80</v>
      </c>
      <c r="I49" s="12" t="s">
        <v>80</v>
      </c>
      <c r="J49" s="12" t="s">
        <v>80</v>
      </c>
    </row>
    <row r="50" spans="1:10" ht="26" customHeight="1">
      <c r="A50" s="10" t="s">
        <v>81</v>
      </c>
      <c r="B50" s="10" t="s">
        <v>81</v>
      </c>
      <c r="C50" s="13"/>
      <c r="D50" s="13"/>
      <c r="E50" s="13"/>
      <c r="F50" s="13"/>
      <c r="G50" s="12" t="s">
        <v>82</v>
      </c>
      <c r="H50" s="12" t="s">
        <v>82</v>
      </c>
      <c r="I50" s="12" t="s">
        <v>82</v>
      </c>
      <c r="J50" s="12" t="s">
        <v>82</v>
      </c>
    </row>
    <row r="51" spans="1:10" ht="26" customHeight="1">
      <c r="A51" s="10" t="s">
        <v>83</v>
      </c>
      <c r="B51" s="10" t="s">
        <v>83</v>
      </c>
      <c r="C51" s="13"/>
      <c r="D51" s="13"/>
      <c r="E51" s="13"/>
      <c r="F51" s="13"/>
      <c r="G51" s="12" t="s">
        <v>84</v>
      </c>
      <c r="H51" s="12" t="s">
        <v>84</v>
      </c>
      <c r="I51" s="12" t="s">
        <v>84</v>
      </c>
      <c r="J51" s="12" t="s">
        <v>84</v>
      </c>
    </row>
    <row r="52" spans="1:10" ht="20" customHeight="1">
      <c r="A52" s="7" t="s">
        <v>85</v>
      </c>
      <c r="B52" s="8" t="s">
        <v>85</v>
      </c>
      <c r="C52" s="8" t="s">
        <v>85</v>
      </c>
      <c r="D52" s="8" t="s">
        <v>85</v>
      </c>
      <c r="E52" s="8" t="s">
        <v>85</v>
      </c>
      <c r="F52" s="8" t="s">
        <v>85</v>
      </c>
      <c r="G52" s="8" t="s">
        <v>85</v>
      </c>
      <c r="H52" s="8" t="s">
        <v>85</v>
      </c>
      <c r="I52" s="8" t="s">
        <v>85</v>
      </c>
      <c r="J52" s="9" t="s">
        <v>85</v>
      </c>
    </row>
    <row r="53" spans="1:10" ht="26" customHeight="1">
      <c r="A53" s="10" t="s">
        <v>86</v>
      </c>
      <c r="B53" s="10" t="s">
        <v>86</v>
      </c>
      <c r="C53" s="13"/>
      <c r="D53" s="13"/>
      <c r="E53" s="13"/>
      <c r="F53" s="13"/>
      <c r="G53" s="12" t="s">
        <v>87</v>
      </c>
      <c r="H53" s="12" t="s">
        <v>87</v>
      </c>
      <c r="I53" s="12" t="s">
        <v>87</v>
      </c>
      <c r="J53" s="12" t="s">
        <v>87</v>
      </c>
    </row>
    <row r="54" spans="1:10" ht="40" customHeight="1">
      <c r="A54" s="10" t="s">
        <v>88</v>
      </c>
      <c r="B54" s="10" t="s">
        <v>88</v>
      </c>
      <c r="C54" s="13"/>
      <c r="D54" s="13"/>
      <c r="E54" s="13"/>
      <c r="F54" s="13"/>
      <c r="G54" s="12" t="s">
        <v>89</v>
      </c>
      <c r="H54" s="12" t="s">
        <v>89</v>
      </c>
      <c r="I54" s="12" t="s">
        <v>89</v>
      </c>
      <c r="J54" s="12" t="s">
        <v>89</v>
      </c>
    </row>
    <row r="55" spans="1:10" ht="40" customHeight="1">
      <c r="A55" s="10" t="s">
        <v>90</v>
      </c>
      <c r="B55" s="10" t="s">
        <v>90</v>
      </c>
      <c r="C55" s="13"/>
      <c r="D55" s="13"/>
      <c r="E55" s="13"/>
      <c r="F55" s="13"/>
      <c r="G55" s="12" t="s">
        <v>91</v>
      </c>
      <c r="H55" s="12" t="s">
        <v>91</v>
      </c>
      <c r="I55" s="12" t="s">
        <v>91</v>
      </c>
      <c r="J55" s="12" t="s">
        <v>91</v>
      </c>
    </row>
    <row r="56" spans="1:10" ht="26" customHeight="1">
      <c r="A56" s="10" t="s">
        <v>92</v>
      </c>
      <c r="B56" s="10" t="s">
        <v>92</v>
      </c>
      <c r="C56" s="14"/>
      <c r="D56" s="14"/>
      <c r="E56" s="14"/>
      <c r="F56" s="14"/>
      <c r="G56" s="12" t="s">
        <v>93</v>
      </c>
      <c r="H56" s="12" t="s">
        <v>93</v>
      </c>
      <c r="I56" s="12" t="s">
        <v>93</v>
      </c>
      <c r="J56" s="12" t="s">
        <v>93</v>
      </c>
    </row>
    <row r="57" spans="1:10" ht="36" customHeight="1">
      <c r="A57" s="10" t="s">
        <v>94</v>
      </c>
      <c r="B57" s="10" t="s">
        <v>94</v>
      </c>
      <c r="C57" s="13"/>
      <c r="D57" s="13"/>
      <c r="E57" s="13"/>
      <c r="F57" s="13"/>
      <c r="G57" s="12" t="s">
        <v>95</v>
      </c>
      <c r="H57" s="12" t="s">
        <v>95</v>
      </c>
      <c r="I57" s="12" t="s">
        <v>95</v>
      </c>
      <c r="J57" s="12" t="s">
        <v>95</v>
      </c>
    </row>
    <row r="58" spans="1:10" ht="36" customHeight="1">
      <c r="A58" s="10" t="s">
        <v>96</v>
      </c>
      <c r="B58" s="10" t="s">
        <v>96</v>
      </c>
      <c r="C58" s="13"/>
      <c r="D58" s="13"/>
      <c r="E58" s="13"/>
      <c r="F58" s="13"/>
      <c r="G58" s="12" t="s">
        <v>97</v>
      </c>
      <c r="H58" s="12" t="s">
        <v>97</v>
      </c>
      <c r="I58" s="12" t="s">
        <v>97</v>
      </c>
      <c r="J58" s="12" t="s">
        <v>97</v>
      </c>
    </row>
    <row r="59" spans="1:10" ht="38" customHeight="1">
      <c r="A59" s="10" t="s">
        <v>98</v>
      </c>
      <c r="B59" s="10" t="s">
        <v>98</v>
      </c>
      <c r="C59" s="13"/>
      <c r="D59" s="13"/>
      <c r="E59" s="13"/>
      <c r="F59" s="13"/>
      <c r="G59" s="12" t="s">
        <v>72</v>
      </c>
      <c r="H59" s="12" t="s">
        <v>72</v>
      </c>
      <c r="I59" s="12" t="s">
        <v>72</v>
      </c>
      <c r="J59" s="12" t="s">
        <v>72</v>
      </c>
    </row>
    <row r="60" spans="1:10" ht="26" customHeight="1">
      <c r="A60" s="10" t="s">
        <v>99</v>
      </c>
      <c r="B60" s="10" t="s">
        <v>99</v>
      </c>
      <c r="C60" s="14"/>
      <c r="D60" s="14"/>
      <c r="E60" s="14"/>
      <c r="F60" s="14"/>
      <c r="G60" s="12" t="s">
        <v>100</v>
      </c>
      <c r="H60" s="12" t="s">
        <v>100</v>
      </c>
      <c r="I60" s="12" t="s">
        <v>100</v>
      </c>
      <c r="J60" s="12" t="s">
        <v>100</v>
      </c>
    </row>
    <row r="61" spans="1:10" ht="26" customHeight="1">
      <c r="A61" s="10" t="s">
        <v>101</v>
      </c>
      <c r="B61" s="10" t="s">
        <v>101</v>
      </c>
      <c r="C61" s="13"/>
      <c r="D61" s="13"/>
      <c r="E61" s="13"/>
      <c r="F61" s="13"/>
      <c r="G61" s="12" t="s">
        <v>76</v>
      </c>
      <c r="H61" s="12" t="s">
        <v>76</v>
      </c>
      <c r="I61" s="12" t="s">
        <v>76</v>
      </c>
      <c r="J61" s="12" t="s">
        <v>76</v>
      </c>
    </row>
    <row r="62" spans="1:10" ht="26" customHeight="1">
      <c r="A62" s="10" t="s">
        <v>102</v>
      </c>
      <c r="B62" s="10" t="s">
        <v>102</v>
      </c>
      <c r="C62" s="14"/>
      <c r="D62" s="14"/>
      <c r="E62" s="14"/>
      <c r="F62" s="14"/>
      <c r="G62" s="12" t="s">
        <v>103</v>
      </c>
      <c r="H62" s="12" t="s">
        <v>103</v>
      </c>
      <c r="I62" s="12" t="s">
        <v>103</v>
      </c>
      <c r="J62" s="12" t="s">
        <v>103</v>
      </c>
    </row>
    <row r="63" spans="1:10" ht="26" customHeight="1">
      <c r="A63" s="10" t="s">
        <v>104</v>
      </c>
      <c r="B63" s="10" t="s">
        <v>104</v>
      </c>
      <c r="C63" s="14"/>
      <c r="D63" s="14"/>
      <c r="E63" s="14"/>
      <c r="F63" s="14"/>
      <c r="G63" s="12" t="s">
        <v>103</v>
      </c>
      <c r="H63" s="12" t="s">
        <v>103</v>
      </c>
      <c r="I63" s="12" t="s">
        <v>103</v>
      </c>
      <c r="J63" s="12" t="s">
        <v>103</v>
      </c>
    </row>
    <row r="64" spans="1:10" ht="26" customHeight="1">
      <c r="A64" s="10" t="s">
        <v>105</v>
      </c>
      <c r="B64" s="10" t="s">
        <v>105</v>
      </c>
      <c r="C64" s="13"/>
      <c r="D64" s="13"/>
      <c r="E64" s="13"/>
      <c r="F64" s="13"/>
      <c r="G64" s="12" t="s">
        <v>76</v>
      </c>
      <c r="H64" s="12" t="s">
        <v>76</v>
      </c>
      <c r="I64" s="12" t="s">
        <v>76</v>
      </c>
      <c r="J64" s="12" t="s">
        <v>76</v>
      </c>
    </row>
    <row r="65" spans="1:10" ht="26" customHeight="1">
      <c r="A65" s="10" t="s">
        <v>106</v>
      </c>
      <c r="B65" s="10" t="s">
        <v>106</v>
      </c>
      <c r="C65" s="13"/>
      <c r="D65" s="13"/>
      <c r="E65" s="13"/>
      <c r="F65" s="13"/>
      <c r="G65" s="12" t="s">
        <v>76</v>
      </c>
      <c r="H65" s="12" t="s">
        <v>76</v>
      </c>
      <c r="I65" s="12" t="s">
        <v>76</v>
      </c>
      <c r="J65" s="12" t="s">
        <v>76</v>
      </c>
    </row>
    <row r="66" spans="1:10" ht="44" customHeight="1">
      <c r="A66" s="10" t="s">
        <v>107</v>
      </c>
      <c r="B66" s="10" t="s">
        <v>107</v>
      </c>
      <c r="C66" s="13"/>
      <c r="D66" s="13"/>
      <c r="E66" s="13"/>
      <c r="F66" s="13"/>
      <c r="G66" s="12" t="s">
        <v>108</v>
      </c>
      <c r="H66" s="12" t="s">
        <v>108</v>
      </c>
      <c r="I66" s="12" t="s">
        <v>108</v>
      </c>
      <c r="J66" s="12" t="s">
        <v>108</v>
      </c>
    </row>
    <row r="67" spans="1:10" ht="44" customHeight="1">
      <c r="A67" s="10" t="s">
        <v>109</v>
      </c>
      <c r="B67" s="10" t="s">
        <v>109</v>
      </c>
      <c r="C67" s="13"/>
      <c r="D67" s="13"/>
      <c r="E67" s="13"/>
      <c r="F67" s="13"/>
      <c r="G67" s="12" t="s">
        <v>108</v>
      </c>
      <c r="H67" s="12" t="s">
        <v>108</v>
      </c>
      <c r="I67" s="12" t="s">
        <v>108</v>
      </c>
      <c r="J67" s="12" t="s">
        <v>108</v>
      </c>
    </row>
    <row r="68" spans="1:10" ht="40" customHeight="1">
      <c r="A68" s="10" t="s">
        <v>110</v>
      </c>
      <c r="B68" s="10" t="s">
        <v>110</v>
      </c>
      <c r="C68" s="13"/>
      <c r="D68" s="13"/>
      <c r="E68" s="13"/>
      <c r="F68" s="13"/>
      <c r="G68" s="12" t="s">
        <v>72</v>
      </c>
      <c r="H68" s="12" t="s">
        <v>72</v>
      </c>
      <c r="I68" s="12" t="s">
        <v>72</v>
      </c>
      <c r="J68" s="12" t="s">
        <v>72</v>
      </c>
    </row>
    <row r="69" spans="1:10" ht="20" customHeight="1">
      <c r="A69" s="7" t="s">
        <v>111</v>
      </c>
      <c r="B69" s="8" t="s">
        <v>111</v>
      </c>
      <c r="C69" s="8" t="s">
        <v>111</v>
      </c>
      <c r="D69" s="8" t="s">
        <v>111</v>
      </c>
      <c r="E69" s="8" t="s">
        <v>111</v>
      </c>
      <c r="F69" s="8" t="s">
        <v>111</v>
      </c>
      <c r="G69" s="8" t="s">
        <v>111</v>
      </c>
      <c r="H69" s="8" t="s">
        <v>111</v>
      </c>
      <c r="I69" s="8" t="s">
        <v>111</v>
      </c>
      <c r="J69" s="9" t="s">
        <v>111</v>
      </c>
    </row>
    <row r="70" spans="1:10" ht="26" customHeight="1">
      <c r="A70" s="10" t="s">
        <v>112</v>
      </c>
      <c r="B70" s="10" t="s">
        <v>112</v>
      </c>
      <c r="C70" s="15"/>
      <c r="D70" s="15"/>
      <c r="E70" s="15"/>
      <c r="F70" s="15"/>
      <c r="G70" s="12" t="s">
        <v>103</v>
      </c>
      <c r="H70" s="12" t="s">
        <v>103</v>
      </c>
      <c r="I70" s="12" t="s">
        <v>103</v>
      </c>
      <c r="J70" s="12" t="s">
        <v>103</v>
      </c>
    </row>
    <row r="71" spans="1:10" ht="26" customHeight="1">
      <c r="A71" s="10" t="s">
        <v>113</v>
      </c>
      <c r="B71" s="10" t="s">
        <v>113</v>
      </c>
      <c r="C71" s="15"/>
      <c r="D71" s="15"/>
      <c r="E71" s="15"/>
      <c r="F71" s="15"/>
      <c r="G71" s="12" t="s">
        <v>103</v>
      </c>
      <c r="H71" s="12" t="s">
        <v>103</v>
      </c>
      <c r="I71" s="12" t="s">
        <v>103</v>
      </c>
      <c r="J71" s="12" t="s">
        <v>103</v>
      </c>
    </row>
    <row r="72" spans="1:10" ht="26" customHeight="1">
      <c r="A72" s="10" t="s">
        <v>114</v>
      </c>
      <c r="B72" s="10" t="s">
        <v>114</v>
      </c>
      <c r="C72" s="15"/>
      <c r="D72" s="15"/>
      <c r="E72" s="15"/>
      <c r="F72" s="15"/>
      <c r="G72" s="12" t="s">
        <v>103</v>
      </c>
      <c r="H72" s="12" t="s">
        <v>103</v>
      </c>
      <c r="I72" s="12" t="s">
        <v>103</v>
      </c>
      <c r="J72" s="12" t="s">
        <v>103</v>
      </c>
    </row>
    <row r="73" spans="1:10" ht="26" customHeight="1">
      <c r="A73" s="10" t="s">
        <v>115</v>
      </c>
      <c r="B73" s="10" t="s">
        <v>115</v>
      </c>
      <c r="C73" s="15"/>
      <c r="D73" s="15"/>
      <c r="E73" s="15"/>
      <c r="F73" s="15"/>
      <c r="G73" s="12" t="s">
        <v>103</v>
      </c>
      <c r="H73" s="12" t="s">
        <v>103</v>
      </c>
      <c r="I73" s="12" t="s">
        <v>103</v>
      </c>
      <c r="J73" s="12" t="s">
        <v>103</v>
      </c>
    </row>
    <row r="74" spans="1:10" ht="26" customHeight="1">
      <c r="A74" s="10" t="s">
        <v>116</v>
      </c>
      <c r="B74" s="10" t="s">
        <v>116</v>
      </c>
      <c r="C74" s="15"/>
      <c r="D74" s="15"/>
      <c r="E74" s="15"/>
      <c r="F74" s="15"/>
      <c r="G74" s="12" t="s">
        <v>103</v>
      </c>
      <c r="H74" s="12" t="s">
        <v>103</v>
      </c>
      <c r="I74" s="12" t="s">
        <v>103</v>
      </c>
      <c r="J74" s="12" t="s">
        <v>103</v>
      </c>
    </row>
    <row r="75" spans="1:10" ht="26" customHeight="1">
      <c r="A75" s="10" t="s">
        <v>117</v>
      </c>
      <c r="B75" s="10" t="s">
        <v>117</v>
      </c>
      <c r="C75" s="15"/>
      <c r="D75" s="15"/>
      <c r="E75" s="15"/>
      <c r="F75" s="15"/>
      <c r="G75" s="12" t="s">
        <v>103</v>
      </c>
      <c r="H75" s="12" t="s">
        <v>103</v>
      </c>
      <c r="I75" s="12" t="s">
        <v>103</v>
      </c>
      <c r="J75" s="12" t="s">
        <v>103</v>
      </c>
    </row>
    <row r="76" spans="1:10" ht="32" customHeight="1">
      <c r="A76" s="10" t="s">
        <v>118</v>
      </c>
      <c r="B76" s="10" t="s">
        <v>118</v>
      </c>
      <c r="C76" s="13"/>
      <c r="D76" s="13"/>
      <c r="E76" s="13"/>
      <c r="F76" s="13"/>
      <c r="G76" s="12" t="s">
        <v>119</v>
      </c>
      <c r="H76" s="12" t="s">
        <v>119</v>
      </c>
      <c r="I76" s="12" t="s">
        <v>119</v>
      </c>
      <c r="J76" s="12" t="s">
        <v>119</v>
      </c>
    </row>
    <row r="77" spans="1:10" ht="42" customHeight="1">
      <c r="A77" s="10" t="s">
        <v>120</v>
      </c>
      <c r="B77" s="10" t="s">
        <v>120</v>
      </c>
      <c r="C77" s="13"/>
      <c r="D77" s="13"/>
      <c r="E77" s="13"/>
      <c r="F77" s="13"/>
      <c r="G77" s="12" t="s">
        <v>121</v>
      </c>
      <c r="H77" s="12" t="s">
        <v>121</v>
      </c>
      <c r="I77" s="12" t="s">
        <v>121</v>
      </c>
      <c r="J77" s="12" t="s">
        <v>121</v>
      </c>
    </row>
    <row r="78" spans="1:10" ht="42" customHeight="1">
      <c r="A78" s="10" t="s">
        <v>122</v>
      </c>
      <c r="B78" s="10" t="s">
        <v>122</v>
      </c>
      <c r="C78" s="13"/>
      <c r="D78" s="13"/>
      <c r="E78" s="13"/>
      <c r="F78" s="13"/>
      <c r="G78" s="12" t="s">
        <v>121</v>
      </c>
      <c r="H78" s="12" t="s">
        <v>121</v>
      </c>
      <c r="I78" s="12" t="s">
        <v>121</v>
      </c>
      <c r="J78" s="12" t="s">
        <v>121</v>
      </c>
    </row>
    <row r="79" spans="1:10" ht="42" customHeight="1">
      <c r="A79" s="10" t="s">
        <v>123</v>
      </c>
      <c r="B79" s="10" t="s">
        <v>123</v>
      </c>
      <c r="C79" s="13"/>
      <c r="D79" s="13"/>
      <c r="E79" s="13"/>
      <c r="F79" s="13"/>
      <c r="G79" s="12" t="s">
        <v>121</v>
      </c>
      <c r="H79" s="12" t="s">
        <v>121</v>
      </c>
      <c r="I79" s="12" t="s">
        <v>121</v>
      </c>
      <c r="J79" s="12" t="s">
        <v>121</v>
      </c>
    </row>
    <row r="80" spans="1:10" ht="42" customHeight="1">
      <c r="A80" s="10" t="s">
        <v>124</v>
      </c>
      <c r="B80" s="10" t="s">
        <v>124</v>
      </c>
      <c r="C80" s="13"/>
      <c r="D80" s="13"/>
      <c r="E80" s="13"/>
      <c r="F80" s="13"/>
      <c r="G80" s="12" t="s">
        <v>121</v>
      </c>
      <c r="H80" s="12" t="s">
        <v>121</v>
      </c>
      <c r="I80" s="12" t="s">
        <v>121</v>
      </c>
      <c r="J80" s="12" t="s">
        <v>121</v>
      </c>
    </row>
    <row r="81" spans="1:10" ht="26" customHeight="1">
      <c r="A81" s="10" t="s">
        <v>125</v>
      </c>
      <c r="B81" s="10" t="s">
        <v>125</v>
      </c>
      <c r="C81" s="16"/>
      <c r="D81" s="16"/>
      <c r="E81" s="16"/>
      <c r="F81" s="16"/>
      <c r="G81" s="12" t="s">
        <v>126</v>
      </c>
      <c r="H81" s="12" t="s">
        <v>126</v>
      </c>
      <c r="I81" s="12" t="s">
        <v>126</v>
      </c>
      <c r="J81" s="12" t="s">
        <v>126</v>
      </c>
    </row>
    <row r="82" spans="1:10" ht="26" customHeight="1">
      <c r="A82" s="10" t="s">
        <v>127</v>
      </c>
      <c r="B82" s="10" t="s">
        <v>127</v>
      </c>
      <c r="C82" s="16"/>
      <c r="D82" s="16"/>
      <c r="E82" s="16"/>
      <c r="F82" s="16"/>
      <c r="G82" s="12" t="s">
        <v>126</v>
      </c>
      <c r="H82" s="12" t="s">
        <v>126</v>
      </c>
      <c r="I82" s="12" t="s">
        <v>126</v>
      </c>
      <c r="J82" s="12" t="s">
        <v>126</v>
      </c>
    </row>
    <row r="83" spans="1:10" ht="26" customHeight="1">
      <c r="A83" s="10" t="s">
        <v>128</v>
      </c>
      <c r="B83" s="10" t="s">
        <v>128</v>
      </c>
      <c r="C83" s="16"/>
      <c r="D83" s="16"/>
      <c r="E83" s="16"/>
      <c r="F83" s="16"/>
      <c r="G83" s="12" t="s">
        <v>126</v>
      </c>
      <c r="H83" s="12" t="s">
        <v>126</v>
      </c>
      <c r="I83" s="12" t="s">
        <v>126</v>
      </c>
      <c r="J83" s="12" t="s">
        <v>126</v>
      </c>
    </row>
    <row r="84" spans="1:10" ht="26" customHeight="1">
      <c r="A84" s="10" t="s">
        <v>129</v>
      </c>
      <c r="B84" s="10" t="s">
        <v>129</v>
      </c>
      <c r="C84" s="16"/>
      <c r="D84" s="16"/>
      <c r="E84" s="16"/>
      <c r="F84" s="16"/>
      <c r="G84" s="12" t="s">
        <v>126</v>
      </c>
      <c r="H84" s="12" t="s">
        <v>126</v>
      </c>
      <c r="I84" s="12" t="s">
        <v>126</v>
      </c>
      <c r="J84" s="12" t="s">
        <v>126</v>
      </c>
    </row>
    <row r="85" spans="1:10" ht="26" customHeight="1">
      <c r="A85" s="10" t="s">
        <v>130</v>
      </c>
      <c r="B85" s="10" t="s">
        <v>130</v>
      </c>
      <c r="C85" s="16"/>
      <c r="D85" s="16"/>
      <c r="E85" s="16"/>
      <c r="F85" s="16"/>
      <c r="G85" s="12" t="s">
        <v>126</v>
      </c>
      <c r="H85" s="12" t="s">
        <v>126</v>
      </c>
      <c r="I85" s="12" t="s">
        <v>126</v>
      </c>
      <c r="J85" s="12" t="s">
        <v>126</v>
      </c>
    </row>
    <row r="86" spans="1:10" ht="26" customHeight="1">
      <c r="A86" s="10" t="s">
        <v>131</v>
      </c>
      <c r="B86" s="10" t="s">
        <v>131</v>
      </c>
      <c r="C86" s="16"/>
      <c r="D86" s="16"/>
      <c r="E86" s="16"/>
      <c r="F86" s="16"/>
      <c r="G86" s="12" t="s">
        <v>126</v>
      </c>
      <c r="H86" s="12" t="s">
        <v>126</v>
      </c>
      <c r="I86" s="12" t="s">
        <v>126</v>
      </c>
      <c r="J86" s="12" t="s">
        <v>126</v>
      </c>
    </row>
    <row r="87" spans="1:10" ht="26" customHeight="1">
      <c r="A87" s="10" t="s">
        <v>132</v>
      </c>
      <c r="B87" s="10" t="s">
        <v>132</v>
      </c>
      <c r="C87" s="13"/>
      <c r="D87" s="13"/>
      <c r="E87" s="13"/>
      <c r="F87" s="13"/>
      <c r="G87" s="12" t="s">
        <v>133</v>
      </c>
      <c r="H87" s="12" t="s">
        <v>133</v>
      </c>
      <c r="I87" s="12" t="s">
        <v>133</v>
      </c>
      <c r="J87" s="12" t="s">
        <v>133</v>
      </c>
    </row>
    <row r="88" spans="1:10" ht="26" customHeight="1">
      <c r="A88" s="10" t="s">
        <v>134</v>
      </c>
      <c r="B88" s="10" t="s">
        <v>134</v>
      </c>
      <c r="C88" s="13"/>
      <c r="D88" s="13"/>
      <c r="E88" s="13"/>
      <c r="F88" s="13"/>
      <c r="G88" s="12" t="s">
        <v>135</v>
      </c>
      <c r="H88" s="12" t="s">
        <v>135</v>
      </c>
      <c r="I88" s="12" t="s">
        <v>135</v>
      </c>
      <c r="J88" s="12" t="s">
        <v>135</v>
      </c>
    </row>
    <row r="89" spans="1:10" ht="42" customHeight="1">
      <c r="A89" s="10" t="s">
        <v>136</v>
      </c>
      <c r="B89" s="10" t="s">
        <v>136</v>
      </c>
      <c r="C89" s="13"/>
      <c r="D89" s="13"/>
      <c r="E89" s="13"/>
      <c r="F89" s="13"/>
      <c r="G89" s="12" t="s">
        <v>137</v>
      </c>
      <c r="H89" s="12" t="s">
        <v>137</v>
      </c>
      <c r="I89" s="12" t="s">
        <v>137</v>
      </c>
      <c r="J89" s="12" t="s">
        <v>137</v>
      </c>
    </row>
    <row r="90" spans="1:10" ht="44" customHeight="1">
      <c r="A90" s="10" t="s">
        <v>138</v>
      </c>
      <c r="B90" s="10" t="s">
        <v>138</v>
      </c>
      <c r="C90" s="13"/>
      <c r="D90" s="13"/>
      <c r="E90" s="13"/>
      <c r="F90" s="13"/>
      <c r="G90" s="12" t="s">
        <v>139</v>
      </c>
      <c r="H90" s="12" t="s">
        <v>139</v>
      </c>
      <c r="I90" s="12" t="s">
        <v>139</v>
      </c>
      <c r="J90" s="12" t="s">
        <v>139</v>
      </c>
    </row>
    <row r="91" spans="1:10" ht="36" customHeight="1">
      <c r="A91" s="10" t="s">
        <v>140</v>
      </c>
      <c r="B91" s="10" t="s">
        <v>140</v>
      </c>
      <c r="C91" s="13"/>
      <c r="D91" s="13"/>
      <c r="E91" s="13"/>
      <c r="F91" s="13"/>
      <c r="G91" s="12" t="s">
        <v>141</v>
      </c>
      <c r="H91" s="12" t="s">
        <v>141</v>
      </c>
      <c r="I91" s="12" t="s">
        <v>141</v>
      </c>
      <c r="J91" s="12" t="s">
        <v>141</v>
      </c>
    </row>
    <row r="92" spans="1:10" ht="36" customHeight="1">
      <c r="A92" s="10" t="s">
        <v>142</v>
      </c>
      <c r="B92" s="10" t="s">
        <v>142</v>
      </c>
      <c r="C92" s="13"/>
      <c r="D92" s="13"/>
      <c r="E92" s="13"/>
      <c r="F92" s="13"/>
      <c r="G92" s="12" t="s">
        <v>141</v>
      </c>
      <c r="H92" s="12" t="s">
        <v>141</v>
      </c>
      <c r="I92" s="12" t="s">
        <v>141</v>
      </c>
      <c r="J92" s="12" t="s">
        <v>141</v>
      </c>
    </row>
    <row r="93" spans="1:10" ht="36" customHeight="1">
      <c r="A93" s="10" t="s">
        <v>143</v>
      </c>
      <c r="B93" s="10" t="s">
        <v>143</v>
      </c>
      <c r="C93" s="13"/>
      <c r="D93" s="13"/>
      <c r="E93" s="13"/>
      <c r="F93" s="13"/>
      <c r="G93" s="12" t="s">
        <v>141</v>
      </c>
      <c r="H93" s="12" t="s">
        <v>141</v>
      </c>
      <c r="I93" s="12" t="s">
        <v>141</v>
      </c>
      <c r="J93" s="12" t="s">
        <v>141</v>
      </c>
    </row>
    <row r="94" spans="1:10" ht="20" customHeight="1">
      <c r="A94" s="7" t="s">
        <v>144</v>
      </c>
      <c r="B94" s="8" t="s">
        <v>144</v>
      </c>
      <c r="C94" s="8" t="s">
        <v>144</v>
      </c>
      <c r="D94" s="8" t="s">
        <v>144</v>
      </c>
      <c r="E94" s="8" t="s">
        <v>144</v>
      </c>
      <c r="F94" s="8" t="s">
        <v>144</v>
      </c>
      <c r="G94" s="8" t="s">
        <v>144</v>
      </c>
      <c r="H94" s="8" t="s">
        <v>144</v>
      </c>
      <c r="I94" s="8" t="s">
        <v>144</v>
      </c>
      <c r="J94" s="9" t="s">
        <v>144</v>
      </c>
    </row>
    <row r="95" spans="1:10" ht="26" customHeight="1">
      <c r="A95" s="10" t="s">
        <v>145</v>
      </c>
      <c r="B95" s="10" t="s">
        <v>145</v>
      </c>
      <c r="C95" s="13"/>
      <c r="D95" s="13"/>
      <c r="E95" s="13"/>
      <c r="F95" s="13"/>
      <c r="G95" s="12" t="s">
        <v>146</v>
      </c>
      <c r="H95" s="12" t="s">
        <v>146</v>
      </c>
      <c r="I95" s="12" t="s">
        <v>146</v>
      </c>
      <c r="J95" s="12" t="s">
        <v>146</v>
      </c>
    </row>
    <row r="96" spans="1:10" ht="26" customHeight="1">
      <c r="A96" s="10" t="s">
        <v>147</v>
      </c>
      <c r="B96" s="10" t="s">
        <v>147</v>
      </c>
      <c r="C96" s="13"/>
      <c r="D96" s="13"/>
      <c r="E96" s="13"/>
      <c r="F96" s="13"/>
      <c r="G96" s="12" t="s">
        <v>146</v>
      </c>
      <c r="H96" s="12" t="s">
        <v>146</v>
      </c>
      <c r="I96" s="12" t="s">
        <v>146</v>
      </c>
      <c r="J96" s="12" t="s">
        <v>146</v>
      </c>
    </row>
    <row r="97" spans="1:10" ht="26" customHeight="1">
      <c r="A97" s="10" t="s">
        <v>148</v>
      </c>
      <c r="B97" s="10" t="s">
        <v>148</v>
      </c>
      <c r="C97" s="13"/>
      <c r="D97" s="13"/>
      <c r="E97" s="13"/>
      <c r="F97" s="13"/>
      <c r="G97" s="12" t="s">
        <v>149</v>
      </c>
      <c r="H97" s="12" t="s">
        <v>149</v>
      </c>
      <c r="I97" s="12" t="s">
        <v>149</v>
      </c>
      <c r="J97" s="12" t="s">
        <v>149</v>
      </c>
    </row>
    <row r="98" spans="1:10" ht="26" customHeight="1">
      <c r="A98" s="10" t="s">
        <v>150</v>
      </c>
      <c r="B98" s="10" t="s">
        <v>150</v>
      </c>
      <c r="C98" s="14"/>
      <c r="D98" s="14"/>
      <c r="E98" s="14"/>
      <c r="F98" s="14"/>
      <c r="G98" s="12" t="s">
        <v>151</v>
      </c>
      <c r="H98" s="12" t="s">
        <v>151</v>
      </c>
      <c r="I98" s="12" t="s">
        <v>151</v>
      </c>
      <c r="J98" s="12" t="s">
        <v>151</v>
      </c>
    </row>
    <row r="99" spans="1:10" ht="54" customHeight="1">
      <c r="A99" s="10" t="s">
        <v>152</v>
      </c>
      <c r="B99" s="10" t="s">
        <v>152</v>
      </c>
      <c r="C99" s="13"/>
      <c r="D99" s="13"/>
      <c r="E99" s="13"/>
      <c r="F99" s="13"/>
      <c r="G99" s="12" t="s">
        <v>153</v>
      </c>
      <c r="H99" s="12" t="s">
        <v>153</v>
      </c>
      <c r="I99" s="12" t="s">
        <v>153</v>
      </c>
      <c r="J99" s="12" t="s">
        <v>153</v>
      </c>
    </row>
    <row r="100" spans="1:10" ht="40" customHeight="1">
      <c r="A100" s="10" t="s">
        <v>154</v>
      </c>
      <c r="B100" s="10" t="s">
        <v>154</v>
      </c>
      <c r="C100" s="13"/>
      <c r="D100" s="13"/>
      <c r="E100" s="13"/>
      <c r="F100" s="13"/>
      <c r="G100" s="12" t="s">
        <v>72</v>
      </c>
      <c r="H100" s="12" t="s">
        <v>72</v>
      </c>
      <c r="I100" s="12" t="s">
        <v>72</v>
      </c>
      <c r="J100" s="12" t="s">
        <v>72</v>
      </c>
    </row>
    <row r="101" spans="1:10" ht="38" customHeight="1">
      <c r="A101" s="10" t="s">
        <v>155</v>
      </c>
      <c r="B101" s="10" t="s">
        <v>155</v>
      </c>
      <c r="C101" s="13"/>
      <c r="D101" s="13"/>
      <c r="E101" s="13"/>
      <c r="F101" s="13"/>
      <c r="G101" s="12" t="s">
        <v>156</v>
      </c>
      <c r="H101" s="12" t="s">
        <v>156</v>
      </c>
      <c r="I101" s="12" t="s">
        <v>156</v>
      </c>
      <c r="J101" s="12" t="s">
        <v>156</v>
      </c>
    </row>
    <row r="102" spans="1:10" ht="26" customHeight="1">
      <c r="A102" s="10" t="s">
        <v>157</v>
      </c>
      <c r="B102" s="10" t="s">
        <v>157</v>
      </c>
      <c r="C102" s="13"/>
      <c r="D102" s="13"/>
      <c r="E102" s="13"/>
      <c r="F102" s="13"/>
      <c r="G102" s="12" t="s">
        <v>76</v>
      </c>
      <c r="H102" s="12" t="s">
        <v>76</v>
      </c>
      <c r="I102" s="12" t="s">
        <v>76</v>
      </c>
      <c r="J102" s="12" t="s">
        <v>76</v>
      </c>
    </row>
    <row r="103" spans="1:10" ht="36" customHeight="1">
      <c r="A103" s="10" t="s">
        <v>158</v>
      </c>
      <c r="B103" s="10" t="s">
        <v>158</v>
      </c>
      <c r="C103" s="13"/>
      <c r="D103" s="13"/>
      <c r="E103" s="13"/>
      <c r="F103" s="13"/>
      <c r="G103" s="12" t="s">
        <v>159</v>
      </c>
      <c r="H103" s="12" t="s">
        <v>159</v>
      </c>
      <c r="I103" s="12" t="s">
        <v>159</v>
      </c>
      <c r="J103" s="12" t="s">
        <v>159</v>
      </c>
    </row>
    <row r="104" spans="1:10" ht="36" customHeight="1">
      <c r="A104" s="10" t="s">
        <v>160</v>
      </c>
      <c r="B104" s="10" t="s">
        <v>160</v>
      </c>
      <c r="C104" s="13"/>
      <c r="D104" s="13"/>
      <c r="E104" s="13"/>
      <c r="F104" s="13"/>
      <c r="G104" s="12" t="s">
        <v>161</v>
      </c>
      <c r="H104" s="12" t="s">
        <v>161</v>
      </c>
      <c r="I104" s="12" t="s">
        <v>161</v>
      </c>
      <c r="J104" s="12" t="s">
        <v>161</v>
      </c>
    </row>
    <row r="105" spans="1:10" ht="46" customHeight="1">
      <c r="A105" s="10" t="s">
        <v>162</v>
      </c>
      <c r="B105" s="10" t="s">
        <v>162</v>
      </c>
      <c r="C105" s="13"/>
      <c r="D105" s="13"/>
      <c r="E105" s="13"/>
      <c r="F105" s="13"/>
      <c r="G105" s="12" t="s">
        <v>163</v>
      </c>
      <c r="H105" s="12" t="s">
        <v>163</v>
      </c>
      <c r="I105" s="12" t="s">
        <v>163</v>
      </c>
      <c r="J105" s="12" t="s">
        <v>163</v>
      </c>
    </row>
    <row r="106" spans="1:10" ht="46" customHeight="1">
      <c r="A106" s="10" t="s">
        <v>164</v>
      </c>
      <c r="B106" s="10" t="s">
        <v>164</v>
      </c>
      <c r="C106" s="13"/>
      <c r="D106" s="13"/>
      <c r="E106" s="13"/>
      <c r="F106" s="13"/>
      <c r="G106" s="12" t="s">
        <v>163</v>
      </c>
      <c r="H106" s="12" t="s">
        <v>163</v>
      </c>
      <c r="I106" s="12" t="s">
        <v>163</v>
      </c>
      <c r="J106" s="12" t="s">
        <v>163</v>
      </c>
    </row>
    <row r="107" spans="1:10" ht="54" customHeight="1">
      <c r="A107" s="10" t="s">
        <v>165</v>
      </c>
      <c r="B107" s="10" t="s">
        <v>165</v>
      </c>
      <c r="C107" s="13"/>
      <c r="D107" s="13"/>
      <c r="E107" s="13"/>
      <c r="F107" s="13"/>
      <c r="G107" s="12" t="s">
        <v>166</v>
      </c>
      <c r="H107" s="12" t="s">
        <v>166</v>
      </c>
      <c r="I107" s="12" t="s">
        <v>166</v>
      </c>
      <c r="J107" s="12" t="s">
        <v>166</v>
      </c>
    </row>
    <row r="108" spans="1:10" ht="46" customHeight="1">
      <c r="A108" s="10" t="s">
        <v>167</v>
      </c>
      <c r="B108" s="10" t="s">
        <v>167</v>
      </c>
      <c r="C108" s="13"/>
      <c r="D108" s="13"/>
      <c r="E108" s="13"/>
      <c r="F108" s="13"/>
      <c r="G108" s="12" t="s">
        <v>168</v>
      </c>
      <c r="H108" s="12" t="s">
        <v>168</v>
      </c>
      <c r="I108" s="12" t="s">
        <v>168</v>
      </c>
      <c r="J108" s="12" t="s">
        <v>168</v>
      </c>
    </row>
    <row r="109" spans="1:10" ht="46" customHeight="1">
      <c r="A109" s="10" t="s">
        <v>169</v>
      </c>
      <c r="B109" s="10" t="s">
        <v>169</v>
      </c>
      <c r="C109" s="13"/>
      <c r="D109" s="13"/>
      <c r="E109" s="13"/>
      <c r="F109" s="13"/>
      <c r="G109" s="12" t="s">
        <v>170</v>
      </c>
      <c r="H109" s="12" t="s">
        <v>170</v>
      </c>
      <c r="I109" s="12" t="s">
        <v>170</v>
      </c>
      <c r="J109" s="12" t="s">
        <v>170</v>
      </c>
    </row>
    <row r="110" spans="1:10">
      <c r="A110" s="17" t="s">
        <v>171</v>
      </c>
      <c r="B110" s="18" t="s">
        <v>171</v>
      </c>
      <c r="C110" s="18" t="s">
        <v>171</v>
      </c>
      <c r="D110" s="18" t="s">
        <v>171</v>
      </c>
      <c r="E110" s="18" t="s">
        <v>171</v>
      </c>
      <c r="F110" s="18" t="s">
        <v>171</v>
      </c>
      <c r="G110" s="18" t="s">
        <v>171</v>
      </c>
      <c r="H110" s="18" t="s">
        <v>171</v>
      </c>
      <c r="I110" s="18" t="s">
        <v>171</v>
      </c>
      <c r="J110" s="19" t="s">
        <v>171</v>
      </c>
    </row>
    <row r="111" spans="1:10">
      <c r="A111" s="20" t="s">
        <v>171</v>
      </c>
      <c r="B111" s="21" t="s">
        <v>171</v>
      </c>
      <c r="C111" s="21" t="s">
        <v>171</v>
      </c>
      <c r="D111" s="21" t="s">
        <v>171</v>
      </c>
      <c r="E111" s="21" t="s">
        <v>171</v>
      </c>
      <c r="F111" s="21" t="s">
        <v>171</v>
      </c>
      <c r="G111" s="21" t="s">
        <v>171</v>
      </c>
      <c r="H111" s="21" t="s">
        <v>171</v>
      </c>
      <c r="I111" s="21" t="s">
        <v>171</v>
      </c>
      <c r="J111" s="22" t="s">
        <v>171</v>
      </c>
    </row>
    <row r="112" spans="1:10">
      <c r="A112" s="23" t="s">
        <v>171</v>
      </c>
      <c r="B112" s="24" t="s">
        <v>171</v>
      </c>
      <c r="C112" s="24" t="s">
        <v>171</v>
      </c>
      <c r="D112" s="24" t="s">
        <v>171</v>
      </c>
      <c r="E112" s="24" t="s">
        <v>171</v>
      </c>
      <c r="F112" s="24" t="s">
        <v>171</v>
      </c>
      <c r="G112" s="24" t="s">
        <v>171</v>
      </c>
      <c r="H112" s="24" t="s">
        <v>171</v>
      </c>
      <c r="I112" s="24" t="s">
        <v>171</v>
      </c>
      <c r="J112" s="25" t="s">
        <v>171</v>
      </c>
    </row>
    <row r="113" spans="1:10">
      <c r="A113" s="1"/>
      <c r="B113" s="1"/>
      <c r="C113" s="1"/>
      <c r="D113" s="1"/>
      <c r="E113" s="1"/>
      <c r="F113" s="1"/>
      <c r="G113" s="1"/>
      <c r="H113" s="1"/>
      <c r="I113" s="1"/>
      <c r="J113" s="1"/>
    </row>
    <row r="114" spans="1:10">
      <c r="A114" s="1"/>
      <c r="B114" s="1"/>
      <c r="C114" s="1"/>
      <c r="D114" s="1"/>
      <c r="E114" s="1"/>
      <c r="F114" s="1"/>
      <c r="G114" s="1"/>
      <c r="H114" s="1"/>
      <c r="I114" s="1"/>
      <c r="J114" s="1"/>
    </row>
    <row r="115" spans="1:10">
      <c r="A115" s="1"/>
      <c r="B115" s="1"/>
      <c r="C115" s="1"/>
      <c r="D115" s="1"/>
      <c r="E115" s="1"/>
      <c r="F115" s="1"/>
      <c r="G115" s="1"/>
      <c r="H115" s="1"/>
      <c r="I115" s="1"/>
      <c r="J115" s="1"/>
    </row>
    <row r="116" spans="1:10">
      <c r="A116" s="1"/>
      <c r="B116" s="1"/>
      <c r="C116" s="1"/>
      <c r="D116" s="1"/>
      <c r="E116" s="1"/>
      <c r="F116" s="1"/>
      <c r="G116" s="1"/>
      <c r="H116" s="1"/>
      <c r="I116" s="1"/>
      <c r="J116" s="1"/>
    </row>
    <row r="117" spans="1:10">
      <c r="A117" s="1"/>
      <c r="B117" s="1"/>
      <c r="C117" s="1"/>
      <c r="D117" s="1"/>
      <c r="E117" s="1"/>
      <c r="F117" s="1"/>
      <c r="G117" s="1"/>
      <c r="H117" s="1"/>
      <c r="I117" s="1"/>
      <c r="J117" s="1"/>
    </row>
    <row r="118" spans="1:10">
      <c r="A118" s="1"/>
      <c r="B118" s="1"/>
      <c r="C118" s="1"/>
      <c r="D118" s="1"/>
      <c r="E118" s="1"/>
      <c r="F118" s="1"/>
      <c r="G118" s="1"/>
      <c r="H118" s="1"/>
      <c r="I118" s="1"/>
      <c r="J118" s="1"/>
    </row>
    <row r="119" spans="1:10">
      <c r="A119" s="1"/>
      <c r="B119" s="1"/>
      <c r="C119" s="1"/>
      <c r="D119" s="1"/>
      <c r="E119" s="1"/>
      <c r="F119" s="1"/>
      <c r="G119" s="1"/>
      <c r="H119" s="1"/>
      <c r="I119" s="1"/>
      <c r="J119" s="1"/>
    </row>
    <row r="120" spans="1:10">
      <c r="A120" s="1"/>
      <c r="B120" s="1"/>
      <c r="C120" s="1"/>
      <c r="D120" s="1"/>
      <c r="E120" s="1"/>
      <c r="F120" s="1"/>
      <c r="G120" s="1"/>
      <c r="H120" s="1"/>
      <c r="I120" s="1"/>
      <c r="J120" s="1"/>
    </row>
    <row r="121" spans="1:10">
      <c r="A121" s="1"/>
      <c r="B121" s="1"/>
      <c r="C121" s="1"/>
      <c r="D121" s="1"/>
      <c r="E121" s="1"/>
      <c r="F121" s="1"/>
      <c r="G121" s="1"/>
      <c r="H121" s="1"/>
      <c r="I121" s="1"/>
      <c r="J121" s="1"/>
    </row>
    <row r="122" spans="1:10">
      <c r="A122" s="1"/>
      <c r="B122" s="1"/>
      <c r="C122" s="1"/>
      <c r="D122" s="1"/>
      <c r="E122" s="1"/>
      <c r="F122" s="1"/>
      <c r="G122" s="1"/>
      <c r="H122" s="1"/>
      <c r="I122" s="1"/>
      <c r="J122" s="1"/>
    </row>
    <row r="123" spans="1:10">
      <c r="A123" s="1"/>
      <c r="B123" s="1"/>
      <c r="C123" s="1"/>
      <c r="D123" s="1"/>
      <c r="E123" s="1"/>
      <c r="F123" s="1"/>
      <c r="G123" s="1"/>
      <c r="H123" s="1"/>
      <c r="I123" s="1"/>
      <c r="J123" s="1"/>
    </row>
    <row r="124" spans="1:10">
      <c r="A124" s="1"/>
      <c r="B124" s="1"/>
      <c r="C124" s="1"/>
      <c r="D124" s="1"/>
      <c r="E124" s="1"/>
      <c r="F124" s="1"/>
      <c r="G124" s="1"/>
      <c r="H124" s="1"/>
      <c r="I124" s="1"/>
      <c r="J124" s="1"/>
    </row>
    <row r="125" spans="1:10">
      <c r="A125" s="1"/>
      <c r="B125" s="1"/>
      <c r="C125" s="1"/>
      <c r="D125" s="1"/>
      <c r="E125" s="1"/>
      <c r="F125" s="1"/>
      <c r="G125" s="1"/>
      <c r="H125" s="1"/>
      <c r="I125" s="1"/>
      <c r="J125" s="1"/>
    </row>
  </sheetData>
  <mergeCells count="304">
    <mergeCell ref="A109:B109"/>
    <mergeCell ref="C109:F109"/>
    <mergeCell ref="G109:J109"/>
    <mergeCell ref="A110:J112"/>
    <mergeCell ref="A107:B107"/>
    <mergeCell ref="C107:F107"/>
    <mergeCell ref="G107:J107"/>
    <mergeCell ref="A108:B108"/>
    <mergeCell ref="C108:F108"/>
    <mergeCell ref="G108:J108"/>
    <mergeCell ref="A105:B105"/>
    <mergeCell ref="C105:F105"/>
    <mergeCell ref="G105:J105"/>
    <mergeCell ref="A106:B106"/>
    <mergeCell ref="C106:F106"/>
    <mergeCell ref="G106:J106"/>
    <mergeCell ref="A103:B103"/>
    <mergeCell ref="C103:F103"/>
    <mergeCell ref="G103:J103"/>
    <mergeCell ref="A104:B104"/>
    <mergeCell ref="C104:F104"/>
    <mergeCell ref="G104:J104"/>
    <mergeCell ref="A101:B101"/>
    <mergeCell ref="C101:F101"/>
    <mergeCell ref="G101:J101"/>
    <mergeCell ref="A102:B102"/>
    <mergeCell ref="C102:F102"/>
    <mergeCell ref="G102:J102"/>
    <mergeCell ref="A99:B99"/>
    <mergeCell ref="C99:F99"/>
    <mergeCell ref="G99:J99"/>
    <mergeCell ref="A100:B100"/>
    <mergeCell ref="C100:F100"/>
    <mergeCell ref="G100:J100"/>
    <mergeCell ref="A97:B97"/>
    <mergeCell ref="C97:F97"/>
    <mergeCell ref="G97:J97"/>
    <mergeCell ref="A98:B98"/>
    <mergeCell ref="C98:F98"/>
    <mergeCell ref="G98:J98"/>
    <mergeCell ref="A94:J94"/>
    <mergeCell ref="A95:B95"/>
    <mergeCell ref="C95:F95"/>
    <mergeCell ref="G95:J95"/>
    <mergeCell ref="A96:B96"/>
    <mergeCell ref="C96:F96"/>
    <mergeCell ref="G96:J96"/>
    <mergeCell ref="A92:B92"/>
    <mergeCell ref="C92:F92"/>
    <mergeCell ref="G92:J92"/>
    <mergeCell ref="A93:B93"/>
    <mergeCell ref="C93:F93"/>
    <mergeCell ref="G93:J93"/>
    <mergeCell ref="A90:B90"/>
    <mergeCell ref="C90:F90"/>
    <mergeCell ref="G90:J90"/>
    <mergeCell ref="A91:B91"/>
    <mergeCell ref="C91:F91"/>
    <mergeCell ref="G91:J91"/>
    <mergeCell ref="A88:B88"/>
    <mergeCell ref="C88:F88"/>
    <mergeCell ref="G88:J88"/>
    <mergeCell ref="A89:B89"/>
    <mergeCell ref="C89:F89"/>
    <mergeCell ref="G89:J89"/>
    <mergeCell ref="A86:B86"/>
    <mergeCell ref="C86:F86"/>
    <mergeCell ref="G86:J86"/>
    <mergeCell ref="A87:B87"/>
    <mergeCell ref="C87:F87"/>
    <mergeCell ref="G87:J87"/>
    <mergeCell ref="A84:B84"/>
    <mergeCell ref="C84:F84"/>
    <mergeCell ref="G84:J84"/>
    <mergeCell ref="A85:B85"/>
    <mergeCell ref="C85:F85"/>
    <mergeCell ref="G85:J85"/>
    <mergeCell ref="A82:B82"/>
    <mergeCell ref="C82:F82"/>
    <mergeCell ref="G82:J82"/>
    <mergeCell ref="A83:B83"/>
    <mergeCell ref="C83:F83"/>
    <mergeCell ref="G83:J83"/>
    <mergeCell ref="A80:B80"/>
    <mergeCell ref="C80:F80"/>
    <mergeCell ref="G80:J80"/>
    <mergeCell ref="A81:B81"/>
    <mergeCell ref="C81:F81"/>
    <mergeCell ref="G81:J81"/>
    <mergeCell ref="A78:B78"/>
    <mergeCell ref="C78:F78"/>
    <mergeCell ref="G78:J78"/>
    <mergeCell ref="A79:B79"/>
    <mergeCell ref="C79:F79"/>
    <mergeCell ref="G79:J79"/>
    <mergeCell ref="A76:B76"/>
    <mergeCell ref="C76:F76"/>
    <mergeCell ref="G76:J76"/>
    <mergeCell ref="A77:B77"/>
    <mergeCell ref="C77:F77"/>
    <mergeCell ref="G77:J77"/>
    <mergeCell ref="A74:B74"/>
    <mergeCell ref="C74:F74"/>
    <mergeCell ref="G74:J74"/>
    <mergeCell ref="A75:B75"/>
    <mergeCell ref="C75:F75"/>
    <mergeCell ref="G75:J75"/>
    <mergeCell ref="A72:B72"/>
    <mergeCell ref="C72:F72"/>
    <mergeCell ref="G72:J72"/>
    <mergeCell ref="A73:B73"/>
    <mergeCell ref="C73:F73"/>
    <mergeCell ref="G73:J73"/>
    <mergeCell ref="A69:J69"/>
    <mergeCell ref="A70:B70"/>
    <mergeCell ref="C70:F70"/>
    <mergeCell ref="G70:J70"/>
    <mergeCell ref="A71:B71"/>
    <mergeCell ref="C71:F71"/>
    <mergeCell ref="G71:J71"/>
    <mergeCell ref="A67:B67"/>
    <mergeCell ref="C67:F67"/>
    <mergeCell ref="G67:J67"/>
    <mergeCell ref="A68:B68"/>
    <mergeCell ref="C68:F68"/>
    <mergeCell ref="G68:J68"/>
    <mergeCell ref="A65:B65"/>
    <mergeCell ref="C65:F65"/>
    <mergeCell ref="G65:J65"/>
    <mergeCell ref="A66:B66"/>
    <mergeCell ref="C66:F66"/>
    <mergeCell ref="G66:J66"/>
    <mergeCell ref="A63:B63"/>
    <mergeCell ref="C63:F63"/>
    <mergeCell ref="G63:J63"/>
    <mergeCell ref="A64:B64"/>
    <mergeCell ref="C64:F64"/>
    <mergeCell ref="G64:J64"/>
    <mergeCell ref="A61:B61"/>
    <mergeCell ref="C61:F61"/>
    <mergeCell ref="G61:J61"/>
    <mergeCell ref="A62:B62"/>
    <mergeCell ref="C62:F62"/>
    <mergeCell ref="G62:J62"/>
    <mergeCell ref="A59:B59"/>
    <mergeCell ref="C59:F59"/>
    <mergeCell ref="G59:J59"/>
    <mergeCell ref="A60:B60"/>
    <mergeCell ref="C60:F60"/>
    <mergeCell ref="G60:J60"/>
    <mergeCell ref="A57:B57"/>
    <mergeCell ref="C57:F57"/>
    <mergeCell ref="G57:J57"/>
    <mergeCell ref="A58:B58"/>
    <mergeCell ref="C58:F58"/>
    <mergeCell ref="G58:J58"/>
    <mergeCell ref="A55:B55"/>
    <mergeCell ref="C55:F55"/>
    <mergeCell ref="G55:J55"/>
    <mergeCell ref="A56:B56"/>
    <mergeCell ref="C56:F56"/>
    <mergeCell ref="G56:J56"/>
    <mergeCell ref="A52:J52"/>
    <mergeCell ref="A53:B53"/>
    <mergeCell ref="C53:F53"/>
    <mergeCell ref="G53:J53"/>
    <mergeCell ref="A54:B54"/>
    <mergeCell ref="C54:F54"/>
    <mergeCell ref="G54:J54"/>
    <mergeCell ref="A50:B50"/>
    <mergeCell ref="C50:F50"/>
    <mergeCell ref="G50:J50"/>
    <mergeCell ref="A51:B51"/>
    <mergeCell ref="C51:F51"/>
    <mergeCell ref="G51:J51"/>
    <mergeCell ref="A48:B48"/>
    <mergeCell ref="C48:F48"/>
    <mergeCell ref="G48:J48"/>
    <mergeCell ref="A49:B49"/>
    <mergeCell ref="C49:F49"/>
    <mergeCell ref="G49:J49"/>
    <mergeCell ref="A46:B46"/>
    <mergeCell ref="C46:F46"/>
    <mergeCell ref="G46:J46"/>
    <mergeCell ref="A47:B47"/>
    <mergeCell ref="C47:F47"/>
    <mergeCell ref="G47:J47"/>
    <mergeCell ref="A44:B44"/>
    <mergeCell ref="C44:F44"/>
    <mergeCell ref="G44:J44"/>
    <mergeCell ref="A45:B45"/>
    <mergeCell ref="C45:F45"/>
    <mergeCell ref="G45:J45"/>
    <mergeCell ref="A42:B42"/>
    <mergeCell ref="C42:F42"/>
    <mergeCell ref="G42:J42"/>
    <mergeCell ref="A43:B43"/>
    <mergeCell ref="C43:F43"/>
    <mergeCell ref="G43:J43"/>
    <mergeCell ref="A40:B40"/>
    <mergeCell ref="C40:F40"/>
    <mergeCell ref="G40:J40"/>
    <mergeCell ref="A41:B41"/>
    <mergeCell ref="C41:F41"/>
    <mergeCell ref="G41:J41"/>
    <mergeCell ref="A38:B38"/>
    <mergeCell ref="C38:F38"/>
    <mergeCell ref="G38:J38"/>
    <mergeCell ref="A39:B39"/>
    <mergeCell ref="C39:F39"/>
    <mergeCell ref="G39:J39"/>
    <mergeCell ref="A36:B36"/>
    <mergeCell ref="C36:F36"/>
    <mergeCell ref="G36:J36"/>
    <mergeCell ref="A37:B37"/>
    <mergeCell ref="C37:F37"/>
    <mergeCell ref="G37:J37"/>
    <mergeCell ref="A33:B33"/>
    <mergeCell ref="C33:F33"/>
    <mergeCell ref="G33:J33"/>
    <mergeCell ref="A34:J34"/>
    <mergeCell ref="A35:B35"/>
    <mergeCell ref="C35:F35"/>
    <mergeCell ref="G35:J35"/>
    <mergeCell ref="A31:B31"/>
    <mergeCell ref="C31:F31"/>
    <mergeCell ref="G31:J31"/>
    <mergeCell ref="A32:B32"/>
    <mergeCell ref="C32:F32"/>
    <mergeCell ref="G32:J32"/>
    <mergeCell ref="A29:B29"/>
    <mergeCell ref="C29:F29"/>
    <mergeCell ref="G29:J29"/>
    <mergeCell ref="A30:B30"/>
    <mergeCell ref="C30:F30"/>
    <mergeCell ref="G30:J30"/>
    <mergeCell ref="A26:J26"/>
    <mergeCell ref="A27:B27"/>
    <mergeCell ref="C27:F27"/>
    <mergeCell ref="G27:J27"/>
    <mergeCell ref="A28:B28"/>
    <mergeCell ref="C28:F28"/>
    <mergeCell ref="G28:J28"/>
    <mergeCell ref="A24:B24"/>
    <mergeCell ref="C24:F24"/>
    <mergeCell ref="G24:J24"/>
    <mergeCell ref="A25:B25"/>
    <mergeCell ref="C25:F25"/>
    <mergeCell ref="G25:J25"/>
    <mergeCell ref="A22:B22"/>
    <mergeCell ref="C22:F22"/>
    <mergeCell ref="G22:J22"/>
    <mergeCell ref="A23:B23"/>
    <mergeCell ref="C23:F23"/>
    <mergeCell ref="G23:J23"/>
    <mergeCell ref="A20:B20"/>
    <mergeCell ref="C20:F20"/>
    <mergeCell ref="G20:J20"/>
    <mergeCell ref="A21:B21"/>
    <mergeCell ref="C21:F21"/>
    <mergeCell ref="G21:J21"/>
    <mergeCell ref="A18:B18"/>
    <mergeCell ref="C18:F18"/>
    <mergeCell ref="G18:J18"/>
    <mergeCell ref="A19:B19"/>
    <mergeCell ref="C19:F19"/>
    <mergeCell ref="G19:J19"/>
    <mergeCell ref="A16:B16"/>
    <mergeCell ref="C16:F16"/>
    <mergeCell ref="G16:J16"/>
    <mergeCell ref="A17:B17"/>
    <mergeCell ref="C17:F17"/>
    <mergeCell ref="G17:J17"/>
    <mergeCell ref="A14:B14"/>
    <mergeCell ref="C14:F14"/>
    <mergeCell ref="G14:J14"/>
    <mergeCell ref="A15:B15"/>
    <mergeCell ref="C15:F15"/>
    <mergeCell ref="G15:J15"/>
    <mergeCell ref="A11:B11"/>
    <mergeCell ref="C11:F11"/>
    <mergeCell ref="G11:J11"/>
    <mergeCell ref="A12:J12"/>
    <mergeCell ref="A13:B13"/>
    <mergeCell ref="C13:F13"/>
    <mergeCell ref="G13:J13"/>
    <mergeCell ref="A9:B9"/>
    <mergeCell ref="C9:F9"/>
    <mergeCell ref="G9:J9"/>
    <mergeCell ref="A10:B10"/>
    <mergeCell ref="C10:F10"/>
    <mergeCell ref="G10:J10"/>
    <mergeCell ref="A7:B7"/>
    <mergeCell ref="C7:F7"/>
    <mergeCell ref="G7:J7"/>
    <mergeCell ref="A8:B8"/>
    <mergeCell ref="C8:F8"/>
    <mergeCell ref="G8:J8"/>
    <mergeCell ref="A1:J2"/>
    <mergeCell ref="A3:J3"/>
    <mergeCell ref="A5:J5"/>
    <mergeCell ref="A6:B6"/>
    <mergeCell ref="C6:F6"/>
    <mergeCell ref="G6:J6"/>
  </mergeCells>
  <phoneticPr fontId="17"/>
  <dataValidations count="6">
    <dataValidation type="list" sqref="C13" xr:uid="{00000000-0002-0000-0000-000000000000}">
      <formula1>"期間の定めなし,期間の定めあり"</formula1>
    </dataValidation>
    <dataValidation type="list" sqref="C16" xr:uid="{00000000-0002-0000-0000-000001000000}">
      <formula1>"自動的に更新する,更新する場合があり得る,契約の更新はしない,その他"</formula1>
    </dataValidation>
    <dataValidation type="list" sqref="C19" xr:uid="{00000000-0002-0000-0000-000002000000}">
      <formula1>"無,有"</formula1>
    </dataValidation>
    <dataValidation type="list" sqref="C23" xr:uid="{00000000-0002-0000-0000-000003000000}">
      <formula1>"無,有（別紙のとおり）"</formula1>
    </dataValidation>
    <dataValidation type="list" sqref="C24" xr:uid="{00000000-0002-0000-0000-000004000000}">
      <formula1>"該当なし,高度専門,定年後の高齢者"</formula1>
    </dataValidation>
    <dataValidation type="list" sqref="C102 C64:C65 C61 C47:C48" xr:uid="{00000000-0002-0000-0000-000005000000}">
      <formula1>"有,無"</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autoPageBreaks="0" fitToPage="1"/>
  </sheetPr>
  <dimension ref="A1:L25"/>
  <sheetViews>
    <sheetView showGridLines="0" tabSelected="1" view="pageBreakPreview" zoomScale="60" zoomScaleNormal="100" workbookViewId="0">
      <selection activeCell="A2" sqref="A2:L2"/>
    </sheetView>
  </sheetViews>
  <sheetFormatPr baseColWidth="10" defaultColWidth="8.83203125" defaultRowHeight="14"/>
  <cols>
    <col min="1" max="2" width="7" customWidth="1"/>
    <col min="3" max="12" width="7.83203125" customWidth="1"/>
  </cols>
  <sheetData>
    <row r="1" spans="1:12" ht="16" customHeight="1">
      <c r="A1" s="26" t="s">
        <v>172</v>
      </c>
      <c r="B1" s="26" t="s">
        <v>172</v>
      </c>
      <c r="C1" s="26" t="s">
        <v>172</v>
      </c>
      <c r="D1" s="26" t="s">
        <v>172</v>
      </c>
      <c r="E1" s="26" t="s">
        <v>172</v>
      </c>
      <c r="F1" s="26" t="s">
        <v>172</v>
      </c>
      <c r="G1" s="26" t="s">
        <v>172</v>
      </c>
      <c r="H1" s="26" t="s">
        <v>172</v>
      </c>
      <c r="I1" s="26" t="s">
        <v>172</v>
      </c>
      <c r="J1" s="26" t="s">
        <v>172</v>
      </c>
      <c r="K1" s="26" t="s">
        <v>172</v>
      </c>
      <c r="L1" s="26" t="s">
        <v>172</v>
      </c>
    </row>
    <row r="2" spans="1:12" ht="28" customHeight="1">
      <c r="A2" s="27" t="s">
        <v>173</v>
      </c>
      <c r="B2" s="27" t="s">
        <v>173</v>
      </c>
      <c r="C2" s="27" t="s">
        <v>173</v>
      </c>
      <c r="D2" s="27" t="s">
        <v>173</v>
      </c>
      <c r="E2" s="27" t="s">
        <v>173</v>
      </c>
      <c r="F2" s="27" t="s">
        <v>173</v>
      </c>
      <c r="G2" s="27" t="s">
        <v>173</v>
      </c>
      <c r="H2" s="27" t="s">
        <v>173</v>
      </c>
      <c r="I2" s="27" t="s">
        <v>173</v>
      </c>
      <c r="J2" s="27" t="s">
        <v>173</v>
      </c>
      <c r="K2" s="27" t="s">
        <v>173</v>
      </c>
      <c r="L2" s="27" t="s">
        <v>173</v>
      </c>
    </row>
    <row r="3" spans="1:12" ht="5" customHeight="1">
      <c r="A3" s="28"/>
      <c r="B3" s="28"/>
      <c r="C3" s="28"/>
      <c r="D3" s="28"/>
      <c r="E3" s="28"/>
      <c r="F3" s="28"/>
      <c r="G3" s="28"/>
      <c r="H3" s="28"/>
      <c r="I3" s="28"/>
      <c r="J3" s="28"/>
      <c r="K3" s="28"/>
      <c r="L3" s="28"/>
    </row>
    <row r="4" spans="1:12" ht="14" customHeight="1">
      <c r="A4" s="29"/>
      <c r="B4" s="30"/>
      <c r="C4" s="30"/>
      <c r="D4" s="30"/>
      <c r="E4" s="30"/>
      <c r="F4" s="30"/>
      <c r="G4" s="30"/>
      <c r="H4" s="31" t="str">
        <f>IF(入力!$C$6="","　　年　月　日",TEXT(入力!$C$6,"yyyy年m月d日"))</f>
        <v>　　年　月　日</v>
      </c>
      <c r="I4" s="32"/>
      <c r="J4" s="32"/>
      <c r="K4" s="32"/>
      <c r="L4" s="33"/>
    </row>
    <row r="5" spans="1:12" ht="30" customHeight="1">
      <c r="A5" s="34" t="str">
        <f>IF(入力!$C$7="","　　　　　　　　　",入力!$C$7)&amp;"　殿"</f>
        <v>　　　　　　　　　　殿</v>
      </c>
      <c r="B5" s="35"/>
      <c r="C5" s="35"/>
      <c r="D5" s="36"/>
      <c r="E5" s="40" t="str">
        <f>"事業場名称・所在地　"&amp;IF(入力!$C$8="","　　　　　　　　　",入力!$C$8)&amp;CHAR(10)&amp;"　　　　　　　　　"&amp;IF(入力!$C$9="","　　　　　　　　　",入力!$C$9)</f>
        <v>事業場名称・所在地　　　　　　　　　　
　　　　　　　　　　　　　　　　　　</v>
      </c>
      <c r="F5" s="41"/>
      <c r="G5" s="41"/>
      <c r="H5" s="41"/>
      <c r="I5" s="41"/>
      <c r="J5" s="41"/>
      <c r="K5" s="41"/>
      <c r="L5" s="42"/>
    </row>
    <row r="6" spans="1:12" ht="24" customHeight="1">
      <c r="A6" s="37"/>
      <c r="B6" s="38"/>
      <c r="C6" s="38"/>
      <c r="D6" s="39"/>
      <c r="E6" s="43" t="str">
        <f>"使　用　者　職　氏　名　"&amp;IF(入力!$C$10="","　　　　　",入力!$C$10)&amp;"　"&amp;IF(入力!$C$11="","　　　　　",入力!$C$11)</f>
        <v>使　用　者　職　氏　名　　　　　　　　　　　　</v>
      </c>
      <c r="F6" s="44"/>
      <c r="G6" s="44"/>
      <c r="H6" s="44"/>
      <c r="I6" s="44"/>
      <c r="J6" s="44"/>
      <c r="K6" s="44"/>
      <c r="L6" s="45"/>
    </row>
    <row r="7" spans="1:12" ht="121" customHeight="1">
      <c r="A7" s="46" t="s">
        <v>16</v>
      </c>
      <c r="B7" s="46" t="s">
        <v>16</v>
      </c>
      <c r="C7" s="47" t="str">
        <f>IF(入力!$C$13="期間の定めなし","○期間の定めなし","期間の定めなし")&amp;"、"&amp;IF(入力!$C$13="期間の定めあり","○期間の定めあり","期間の定めあり")&amp;"（"&amp;IF(入力!$C$14="","　年　月　日",TEXT(入力!$C$14,"yyyy年m月d日"))&amp;"～"&amp;IF(入力!$C$15="","　年　月　日",TEXT(入力!$C$15,"yyyy年m月d日"))&amp;"）"&amp;CHAR(10)&amp;"※以下は、「契約期間」について「期間の定めあり」とした場合に記入"&amp;CHAR(10)&amp;"１　契約の更新の有無"&amp;CHAR(10)&amp;"　［"&amp;IF(入力!$C$16="自動的に更新する","○自動的に更新する","自動的に更新する")&amp;"・"&amp;IF(入力!$C$16="更新する場合があり得る","○更新する場合があり得る","更新する場合があり得る")&amp;"・"&amp;IF(入力!$C$16="契約の更新はしない","○契約の更新はしない","契約の更新はしない")&amp;"・"&amp;IF(入力!$C$16="その他","○その他","その他")&amp;"（"&amp;IF(入力!$C$17="","　　　",入力!$C$17)&amp;"）］"&amp;CHAR(10)&amp;"２　契約の更新は次により判断する。"&amp;CHAR(10)&amp;"　・契約期間満了時の業務量　　・勤務成績、態度　　　　・能力"&amp;CHAR(10)&amp;"　・会社の経営状況　　・従事している業務の進捗状況"&amp;CHAR(10)&amp;"　・その他（"&amp;IF(入力!$C$18="","　　　　　　　　　　　　　",入力!$C$18)&amp;"）"&amp;CHAR(10)&amp;"３　更新上限の有無（"&amp;IF(入力!$C$19="無","○無","無")&amp;"・"&amp;IF(入力!$C$19="有","○有","有")&amp;"（更新　"&amp;IF(入力!$C$20="","　",TEXT(入力!$C$20,IF(入力!$C$20=INT(N(入力!$C$20)),"0","0.##")))&amp;"回まで／通算契約期間　"&amp;IF(入力!$C$21="","　",TEXT(入力!$C$21,IF(入力!$C$21=INT(N(入力!$C$21)),"0","0.##")))&amp;"年まで））"</f>
        <v>期間の定めなし、期間の定めあり（　年　月　日～　年　月　日）
※以下は、「契約期間」について「期間の定めあり」とした場合に記入
１　契約の更新の有無
　［自動的に更新する・更新する場合があり得る・契約の更新はしない・その他（　　　）］
２　契約の更新は次により判断する。
　・契約期間満了時の業務量　　・勤務成績、態度　　　　・能力
　・会社の経営状況　　・従事している業務の進捗状況
　・その他（　　　　　　　　　　　　　）
３　更新上限の有無（無・有（更新　　回まで／通算契約期間　　年まで））</v>
      </c>
      <c r="D7" s="47"/>
      <c r="E7" s="47"/>
      <c r="F7" s="47"/>
      <c r="G7" s="47"/>
      <c r="H7" s="47"/>
      <c r="I7" s="47"/>
      <c r="J7" s="47"/>
      <c r="K7" s="47"/>
      <c r="L7" s="47"/>
    </row>
    <row r="8" spans="1:12" ht="45" customHeight="1">
      <c r="A8" s="47" t="str">
        <f>"【労働契約法に定める同一の企業との間での通算契約期間が５年を超える有期労働契約の締結の場合】"&amp;CHAR(10)&amp;"　本契約期間中に会社に対して期間の定めのない労働契約（無期労働契約）の締結の申込みをすることにより、本契約期間の末日の翌日（"&amp;IF(入力!$C$22="","　年　月　日",TEXT(入力!$C$22,"yyyy年m月d日"))&amp;"）から、無期労働契約での雇用に転換することができる。この場合の本契約からの労働条件の変更の有無（"&amp;IF(入力!$C$23="無","○無","無")&amp;"・"&amp;IF(入力!$C$23="有（別紙のとおり）","○有（別紙のとおり）","有（別紙のとおり）")&amp;"）"</f>
        <v>【労働契約法に定める同一の企業との間での通算契約期間が５年を超える有期労働契約の締結の場合】
　本契約期間中に会社に対して期間の定めのない労働契約（無期労働契約）の締結の申込みをすることにより、本契約期間の末日の翌日（　年　月　日）から、無期労働契約での雇用に転換することができる。この場合の本契約からの労働条件の変更の有無（無・有（別紙のとおり））</v>
      </c>
      <c r="B8" s="47"/>
      <c r="C8" s="47"/>
      <c r="D8" s="47"/>
      <c r="E8" s="47"/>
      <c r="F8" s="47"/>
      <c r="G8" s="47"/>
      <c r="H8" s="47"/>
      <c r="I8" s="47"/>
      <c r="J8" s="47"/>
      <c r="K8" s="47"/>
      <c r="L8" s="47"/>
    </row>
    <row r="9" spans="1:12" ht="56" customHeight="1">
      <c r="A9" s="47" t="str">
        <f>"【有期雇用特別措置法による特例の対象者の場合】"&amp;CHAR(10)&amp;"　無期転換申込権が発生しない期間：　Ⅰ（高度専門）・Ⅱ（定年後の高齢者）　　対象："&amp;IF(入力!$C$24="","　　　　　　",入力!$C$24)&amp;CHAR(10)&amp;"　Ⅰ　特定有期業務の開始から完了までの期間（　"&amp;IF(入力!$C$25="","　",TEXT(入力!$C$25,IF(入力!$C$25=INT(N(入力!$C$25)),"0","0.##")))&amp;"か月（上限10年））"&amp;CHAR(10)&amp;"　Ⅱ　定年後引き続いて雇用されている期間"</f>
        <v>【有期雇用特別措置法による特例の対象者の場合】
　無期転換申込権が発生しない期間：　Ⅰ（高度専門）・Ⅱ（定年後の高齢者）　　対象：　　　　　　
　Ⅰ　特定有期業務の開始から完了までの期間（　　か月（上限10年））
　Ⅱ　定年後引き続いて雇用されている期間</v>
      </c>
      <c r="B9" s="47"/>
      <c r="C9" s="47"/>
      <c r="D9" s="47"/>
      <c r="E9" s="47"/>
      <c r="F9" s="47"/>
      <c r="G9" s="47"/>
      <c r="H9" s="47"/>
      <c r="I9" s="47"/>
      <c r="J9" s="47"/>
      <c r="K9" s="47"/>
      <c r="L9" s="47"/>
    </row>
    <row r="10" spans="1:12" ht="30" customHeight="1">
      <c r="A10" s="48" t="s">
        <v>174</v>
      </c>
      <c r="B10" s="48" t="s">
        <v>174</v>
      </c>
      <c r="C10" s="55" t="str">
        <f>"（雇入れ直後）"&amp;IF(入力!$C$27="","　　　　　　　　　　　",入力!$C$27)&amp;CHAR(10)&amp;"（変更の範囲）"&amp;IF(入力!$C$28="","　　　　　　　　　　　",入力!$C$28)</f>
        <v>（雇入れ直後）　　　　　　　　　　　
（変更の範囲）　　　　　　　　　　　</v>
      </c>
      <c r="D10" s="55"/>
      <c r="E10" s="55"/>
      <c r="F10" s="55"/>
      <c r="G10" s="55"/>
      <c r="H10" s="55"/>
      <c r="I10" s="55"/>
      <c r="J10" s="55"/>
      <c r="K10" s="55"/>
      <c r="L10" s="55"/>
    </row>
    <row r="11" spans="1:12" ht="56" customHeight="1">
      <c r="A11" s="48" t="s">
        <v>175</v>
      </c>
      <c r="B11" s="48" t="s">
        <v>175</v>
      </c>
      <c r="C11" s="55" t="str">
        <f>"（雇入れ直後）"&amp;IF(入力!$C$29="","　　　　　　　　　　　",入力!$C$29)&amp;CHAR(10)&amp;"（変更の範囲）"&amp;IF(入力!$C$30="","　　　　　　　　　　　",入力!$C$30)&amp;CHAR(10)&amp;"【有期雇用特別措置法による特例の対象者（高度専門）の場合】"&amp;CHAR(10)&amp;"・特定有期業務（"&amp;IF(入力!$C$31="","　　　　　　　　　",入力!$C$31)&amp;"　開始日："&amp;IF(入力!$C$32="","　　　　",TEXT(入力!$C$32,"yyyy年m月d日"))&amp;"　完了日："&amp;IF(入力!$C$33="","　　　　",TEXT(入力!$C$33,"yyyy年m月d日"))&amp;"）"</f>
        <v>（雇入れ直後）　　　　　　　　　　　
（変更の範囲）　　　　　　　　　　　
【有期雇用特別措置法による特例の対象者（高度専門）の場合】
・特定有期業務（　　　　　　　　　　開始日：　　　　　完了日：　　　　）</v>
      </c>
      <c r="D11" s="55"/>
      <c r="E11" s="55"/>
      <c r="F11" s="55"/>
      <c r="G11" s="55"/>
      <c r="H11" s="55"/>
      <c r="I11" s="55"/>
      <c r="J11" s="55"/>
      <c r="K11" s="55"/>
      <c r="L11" s="55"/>
    </row>
    <row r="12" spans="1:12" ht="232" customHeight="1">
      <c r="A12" s="48" t="s">
        <v>176</v>
      </c>
      <c r="B12" s="48" t="s">
        <v>176</v>
      </c>
      <c r="C12" s="50" t="str">
        <f>"１　始業・終業の時刻等"&amp;CHAR(10)&amp;"(1) 始業（"&amp;IF(入力!$C$35="","　時　分",入力!$C$35)&amp;"）　終業（"&amp;IF(入力!$C$36="","　時　分",入力!$C$36)&amp;"）"&amp;CHAR(10)&amp;"【以下のような制度が労働者に適用される場合】"&amp;CHAR(10)&amp;"(2) 変形労働時間制等；（"&amp;IF(入力!$C$37="","　",入力!$C$37)&amp;"）単位の変形労働時間制・交替制として、次の勤務時間の組み合わせによる。"&amp;CHAR(10)&amp;"　├ "&amp;IF(入力!$C$38="","始業（　時　分）終業（　時　分）（適用日　　　　）",入力!$C$38)&amp;CHAR(10)&amp;"　├ "&amp;IF(入力!$C$39="","始業（　時　分）終業（　時　分）（適用日　　　　）",入力!$C$39)&amp;CHAR(10)&amp;"　└ "&amp;IF(入力!$C$40="","始業（　時　分）終業（　時　分）（適用日　　　　）",入力!$C$40)&amp;CHAR(10)&amp;"(3) フレックスタイム制；始業及び終業の時刻は労働者の決定に委ねる。"&amp;CHAR(10)&amp;"　（ただし、フレキシブルタイム　"&amp;IF(入力!$C$41="","（始業）　時　分から　時　分、（終業）　時　分から　時　分",入力!$C$41)&amp;"、"&amp;CHAR(10)&amp;"　　　　　　　　コアタイム　"&amp;IF(入力!$C$42="","　時　分から　時　分",入力!$C$42)&amp;"）"&amp;CHAR(10)&amp;"(4) 事業場外みなし労働時間制；"&amp;IF(入力!$C$43="","始業（　時　分）終業（　時　分）",入力!$C$43)&amp;CHAR(10)&amp;"(5) 裁量労働制；"&amp;IF(入力!$C$44="","始業（　時　分）終業（　時　分）",入力!$C$44)&amp;"を基本とし、労働者の決定に委ねる。"&amp;CHAR(10)&amp;"○詳細は、就業規則　"&amp;IF(入力!$C$45="","第　条～第　条、第　条～第　条、第　条～第　条",入力!$C$45)&amp;CHAR(10)&amp;"２　休憩時間（"&amp;IF(入力!$C$46="","　",TEXT(入力!$C$46,IF(入力!$C$46=INT(N(入力!$C$46)),"0","0.##")))&amp;"）分"&amp;CHAR(10)&amp;"３　所定時間外労働の有無（"&amp;IF(入力!$C$47="有","○有","有")&amp;"，"&amp;IF(入力!$C$47="無","○無","無")&amp;"）"</f>
        <v>１　始業・終業の時刻等
(1) 始業（　時　分）　終業（　時　分）
【以下のような制度が労働者に適用される場合】
(2) 変形労働時間制等；（　）単位の変形労働時間制・交替制として、次の勤務時間の組み合わせによる。
　├ 始業（　時　分）終業（　時　分）（適用日　　　　）
　├ 始業（　時　分）終業（　時　分）（適用日　　　　）
　└ 始業（　時　分）終業（　時　分）（適用日　　　　）
(3) フレックスタイム制；始業及び終業の時刻は労働者の決定に委ねる。
　（ただし、フレキシブルタイム　（始業）　時　分から　時　分、（終業）　時　分から　時　分、
　　　　　　　　コアタイム　　時　分から　時　分）
(4) 事業場外みなし労働時間制；始業（　時　分）終業（　時　分）
(5) 裁量労働制；始業（　時　分）終業（　時　分）を基本とし、労働者の決定に委ねる。
○詳細は、就業規則　第　条～第　条、第　条～第　条、第　条～第　条
２　休憩時間（　）分
３　所定時間外労働の有無（有，無）</v>
      </c>
      <c r="D12" s="50"/>
      <c r="E12" s="50"/>
      <c r="F12" s="50"/>
      <c r="G12" s="50"/>
      <c r="H12" s="50"/>
      <c r="I12" s="50"/>
      <c r="J12" s="50"/>
      <c r="K12" s="50"/>
      <c r="L12" s="50"/>
    </row>
    <row r="13" spans="1:12" ht="55" customHeight="1">
      <c r="A13" s="46" t="s">
        <v>177</v>
      </c>
      <c r="B13" s="46" t="s">
        <v>177</v>
      </c>
      <c r="C13" s="47" t="str">
        <f>"・定例日；毎週　"&amp;IF(入力!$C$53="","　曜日",入力!$C$53)&amp;"、国民の祝日、その他（"&amp;IF(入力!$C$54="","　　　　　　　　　",入力!$C$54)&amp;"）"&amp;CHAR(10)&amp;"・非定例日；"&amp;IF(入力!$C$55="","週・月当たり　日、その他（　　　　　　）",入力!$C$55)&amp;CHAR(10)&amp;"・１年単位の変形労働時間制の場合－年間　"&amp;IF(入力!$C$56="","　",TEXT(入力!$C$56,IF(入力!$C$56=INT(N(入力!$C$56)),"0","0.##")))&amp;"日"&amp;CHAR(10)&amp;"○詳細は、就業規則　"&amp;IF(入力!$C$59="","第　条～第　条、第　条～第　条",入力!$C$59)</f>
        <v>・定例日；毎週　　曜日、国民の祝日、その他（　　　　　　　　　）
・非定例日；週・月当たり　日、その他（　　　　　　）
・１年単位の変形労働時間制の場合－年間　　日
○詳細は、就業規則　第　条～第　条、第　条～第　条</v>
      </c>
      <c r="D13" s="47"/>
      <c r="E13" s="47"/>
      <c r="F13" s="47"/>
      <c r="G13" s="47"/>
      <c r="H13" s="47"/>
      <c r="I13" s="47"/>
      <c r="J13" s="47"/>
      <c r="K13" s="47"/>
      <c r="L13" s="47"/>
    </row>
    <row r="14" spans="1:12" ht="100" customHeight="1">
      <c r="A14" s="46" t="s">
        <v>178</v>
      </c>
      <c r="B14" s="46" t="s">
        <v>178</v>
      </c>
      <c r="C14" s="47" t="str">
        <f>"１　年次有給休暇　６か月継続勤務した場合→　"&amp;IF(入力!$C$60="","　",TEXT(入力!$C$60,IF(入力!$C$60=INT(N(入力!$C$60)),"0","0.##")))&amp;"日"&amp;CHAR(10)&amp;"　　　　　　　　 継続勤務６か月以内の年次有給休暇　（"&amp;IF(入力!$C$61="有","○有","有")&amp;"・"&amp;IF(入力!$C$61="無","○無","無")&amp;"）"&amp;CHAR(10)&amp;"　　　　　　　　 →　"&amp;IF(入力!$C$62="","　",TEXT(入力!$C$62,IF(入力!$C$62=INT(N(入力!$C$62)),"0","0.##")))&amp;"か月経過で　"&amp;IF(入力!$C$63="","　",TEXT(入力!$C$63,IF(入力!$C$63=INT(N(入力!$C$63)),"0","0.##")))&amp;"日"&amp;CHAR(10)&amp;"　　　　　　　　 時間単位年休（"&amp;IF(入力!$C$64="有","○有","有")&amp;"・"&amp;IF(入力!$C$64="無","○無","無")&amp;"）"&amp;CHAR(10)&amp;"２　代替休暇（"&amp;IF(入力!$C$65="有","○有","有")&amp;"・"&amp;IF(入力!$C$65="無","○無","無")&amp;"）"&amp;CHAR(10)&amp;"３　その他の休暇　有給（"&amp;IF(入力!$C$66="","　　　　　　　　　　　",入力!$C$66)&amp;"）"&amp;CHAR(10)&amp;"　　　　　　　　　無給（"&amp;IF(入力!$C$67="","　　　　　　　　　　　",入力!$C$67)&amp;"）"&amp;CHAR(10)&amp;"○詳細は、就業規則　"&amp;IF(入力!$C$68="","第　条～第　条、第　条～第　条",入力!$C$68)</f>
        <v>１　年次有給休暇　６か月継続勤務した場合→　　日
　　　　　　　　 継続勤務６か月以内の年次有給休暇　（有・無）
　　　　　　　　 →　　か月経過で　　日
　　　　　　　　 時間単位年休（有・無）
２　代替休暇（有・無）
３　その他の休暇　有給（　　　　　　　　　　　）
　　　　　　　　　無給（　　　　　　　　　　　）
○詳細は、就業規則　第　条～第　条、第　条～第　条</v>
      </c>
      <c r="D14" s="47"/>
      <c r="E14" s="47"/>
      <c r="F14" s="47"/>
      <c r="G14" s="47"/>
      <c r="H14" s="47"/>
      <c r="I14" s="47"/>
      <c r="J14" s="47"/>
      <c r="K14" s="47"/>
      <c r="L14" s="47"/>
    </row>
    <row r="15" spans="1:12" ht="14" customHeight="1">
      <c r="A15" s="51" t="s">
        <v>179</v>
      </c>
      <c r="B15" s="51" t="s">
        <v>179</v>
      </c>
      <c r="C15" s="51" t="s">
        <v>179</v>
      </c>
      <c r="D15" s="51" t="s">
        <v>179</v>
      </c>
      <c r="E15" s="51" t="s">
        <v>179</v>
      </c>
      <c r="F15" s="51" t="s">
        <v>179</v>
      </c>
      <c r="G15" s="51" t="s">
        <v>179</v>
      </c>
      <c r="H15" s="51" t="s">
        <v>179</v>
      </c>
      <c r="I15" s="51" t="s">
        <v>179</v>
      </c>
      <c r="J15" s="51" t="s">
        <v>179</v>
      </c>
      <c r="K15" s="51" t="s">
        <v>179</v>
      </c>
      <c r="L15" s="51" t="s">
        <v>179</v>
      </c>
    </row>
    <row r="16" spans="1:12" ht="1" customHeight="1">
      <c r="A16" s="28"/>
      <c r="B16" s="28"/>
      <c r="C16" s="28"/>
      <c r="D16" s="28"/>
      <c r="E16" s="28"/>
      <c r="F16" s="28"/>
      <c r="G16" s="28"/>
      <c r="H16" s="28"/>
      <c r="I16" s="28"/>
      <c r="J16" s="28"/>
      <c r="K16" s="28"/>
      <c r="L16" s="28"/>
    </row>
    <row r="17" spans="1:12" ht="10" customHeight="1">
      <c r="A17" s="28"/>
      <c r="B17" s="28"/>
      <c r="C17" s="28"/>
      <c r="D17" s="28"/>
      <c r="E17" s="28"/>
      <c r="F17" s="28"/>
      <c r="G17" s="28"/>
      <c r="H17" s="28"/>
      <c r="I17" s="28"/>
      <c r="J17" s="28"/>
      <c r="K17" s="28"/>
      <c r="L17" s="28"/>
    </row>
    <row r="18" spans="1:12" ht="310" customHeight="1">
      <c r="A18" s="46" t="s">
        <v>180</v>
      </c>
      <c r="B18" s="46" t="s">
        <v>180</v>
      </c>
      <c r="C18" s="50" t="str">
        <f>"１　基本賃金　イ　月給（"&amp;IF(入力!$C$70="","　　　　　",TEXT(入力!$C$70,"#,##0"))&amp;"円）、ロ　日給（"&amp;IF(入力!$C$71="","　　　　　",TEXT(入力!$C$71,"#,##0"))&amp;"円）"&amp;CHAR(10)&amp;"　　　　　　　ハ　時間給（"&amp;IF(入力!$C$72="","　　　　　",TEXT(入力!$C$72,"#,##0"))&amp;"円）、"&amp;CHAR(10)&amp;"　　　　　　　ニ　出来高給（基本単価　"&amp;IF(入力!$C$73="","　　　　　",TEXT(入力!$C$73,"#,##0"))&amp;"円、保障給　"&amp;IF(入力!$C$74="","　　　　　",TEXT(入力!$C$74,"#,##0"))&amp;"円）"&amp;CHAR(10)&amp;"　　　　　　　ホ　その他（"&amp;IF(入力!$C$75="","　　　　　",TEXT(入力!$C$75,"#,##0"))&amp;"円）"&amp;CHAR(10)&amp;"　　　　　　　ヘ　就業規則に規定されている賃金等級等　"&amp;IF(入力!$C$76="","　　　　　　　　　　　　　　",入力!$C$76)&amp;CHAR(10)&amp;""&amp;CHAR(10)&amp;"２　諸手当の額又は計算方法"&amp;CHAR(10)&amp;"　イ（"&amp;IF(入力!$C$77="","　　　手当　　　円 ／計算方法：　　　　　　　　　",入力!$C$77)&amp;"）"&amp;CHAR(10)&amp;"　ロ（"&amp;IF(入力!$C$78="","　　　手当　　　円 ／計算方法：　　　　　　　　　",入力!$C$78)&amp;"）"&amp;CHAR(10)&amp;"　ハ（"&amp;IF(入力!$C$79="","　　　手当　　　円 ／計算方法：　　　　　　　　　",入力!$C$79)&amp;"）"&amp;CHAR(10)&amp;"　ニ（"&amp;IF(入力!$C$80="","　　　手当　　　円 ／計算方法：　　　　　　　　　",入力!$C$80)&amp;"）"&amp;CHAR(10)&amp;"３　所定時間外、休日又は深夜労働に対して支払われる割増賃金率"&amp;CHAR(10)&amp;"　イ　所定時間外、法定超　月６０時間以内（"&amp;IF(入力!$C$81="","　",TEXT(入力!$C$81,IF(入力!$C$81=INT(N(入力!$C$81)),"0","0.##")))&amp;"）％"&amp;CHAR(10)&amp;"　　　　　　　　　　　　　月６０時間超　（"&amp;IF(入力!$C$82="","　",TEXT(入力!$C$82,IF(入力!$C$82=INT(N(入力!$C$82)),"0","0.##")))&amp;"）％"&amp;CHAR(10)&amp;"　　　　　　　　　所定超　（"&amp;IF(入力!$C$83="","　",TEXT(入力!$C$83,IF(入力!$C$83=INT(N(入力!$C$83)),"0","0.##")))&amp;"）％"&amp;CHAR(10)&amp;"　ロ　休日　法定休日（"&amp;IF(入力!$C$84="","　",TEXT(入力!$C$84,IF(入力!$C$84=INT(N(入力!$C$84)),"0","0.##")))&amp;"）％、法定外休日（"&amp;IF(入力!$C$85="","　",TEXT(入力!$C$85,IF(入力!$C$85=INT(N(入力!$C$85)),"0","0.##")))&amp;"）％"&amp;CHAR(10)&amp;"　ハ　深夜（"&amp;IF(入力!$C$86="","　",TEXT(入力!$C$86,IF(入力!$C$86=INT(N(入力!$C$86)),"0","0.##")))&amp;"）％"&amp;CHAR(10)&amp;"４　賃金締切日（"&amp;IF(入力!$C$87="","　　　　　",入力!$C$87)&amp;"）"&amp;CHAR(10)&amp;"５　賃金支払日（"&amp;IF(入力!$C$88="","　　　　　",入力!$C$88)&amp;"）"&amp;CHAR(10)&amp;"６　賃金の支払方法（"&amp;IF(入力!$C$89="","　　　　　　　　　　　",入力!$C$89)&amp;"）"</f>
        <v>１　基本賃金　イ　月給（　　　　　円）、ロ　日給（　　　　　円）
　　　　　　　ハ　時間給（　　　　　円）、
　　　　　　　ニ　出来高給（基本単価　　　　　　円、保障給　　　　　　円）
　　　　　　　ホ　その他（　　　　　円）
　　　　　　　ヘ　就業規則に規定されている賃金等級等　　　　　　　　　　　　　　　
２　諸手当の額又は計算方法
　イ（　　　手当　　　円 ／計算方法：　　　　　　　　　）
　ロ（　　　手当　　　円 ／計算方法：　　　　　　　　　）
　ハ（　　　手当　　　円 ／計算方法：　　　　　　　　　）
　ニ（　　　手当　　　円 ／計算方法：　　　　　　　　　）
３　所定時間外、休日又は深夜労働に対して支払われる割増賃金率
　イ　所定時間外、法定超　月６０時間以内（　）％
　　　　　　　　　　　　　月６０時間超　（　）％
　　　　　　　　　所定超　（　）％
　ロ　休日　法定休日（　）％、法定外休日（　）％
　ハ　深夜（　）％
４　賃金締切日（　　　　　）
５　賃金支払日（　　　　　）
６　賃金の支払方法（　　　　　　　　　　　）</v>
      </c>
      <c r="D18" s="50"/>
      <c r="E18" s="50"/>
      <c r="F18" s="50"/>
      <c r="G18" s="50"/>
      <c r="H18" s="50"/>
      <c r="I18" s="50"/>
      <c r="J18" s="50"/>
      <c r="K18" s="50"/>
      <c r="L18" s="50"/>
    </row>
    <row r="19" spans="1:12" ht="70" customHeight="1">
      <c r="A19" s="46" t="s">
        <v>180</v>
      </c>
      <c r="B19" s="46" t="s">
        <v>180</v>
      </c>
      <c r="C19" s="52" t="str">
        <f>"７　労使協定に基づく賃金支払時の控除（"&amp;IF(入力!$C$90="","無　，　有（　　　）",入力!$C$90)&amp;"）"&amp;CHAR(10)&amp;"８　昇給（"&amp;IF(入力!$C$91="","有（時期、金額等　　　　　），無",入力!$C$91)&amp;"）"&amp;CHAR(10)&amp;"９　賞与（"&amp;IF(入力!$C$92="","有（時期、金額等　　　　　），無",入力!$C$92)&amp;"）"&amp;CHAR(10)&amp;"10　退職金（"&amp;IF(入力!$C$93="","有（時期、金額等　　　　　），無",入力!$C$93)&amp;"）"</f>
        <v>７　労使協定に基づく賃金支払時の控除（無　，　有（　　　））
８　昇給（有（時期、金額等　　　　　），無）
９　賞与（有（時期、金額等　　　　　），無）
10　退職金（有（時期、金額等　　　　　），無）</v>
      </c>
      <c r="D19" s="52"/>
      <c r="E19" s="52"/>
      <c r="F19" s="52"/>
      <c r="G19" s="52"/>
      <c r="H19" s="52"/>
      <c r="I19" s="52"/>
      <c r="J19" s="52"/>
      <c r="K19" s="52"/>
      <c r="L19" s="52"/>
    </row>
    <row r="20" spans="1:12" ht="108" customHeight="1">
      <c r="A20" s="46" t="s">
        <v>181</v>
      </c>
      <c r="B20" s="46" t="s">
        <v>181</v>
      </c>
      <c r="C20" s="47" t="str">
        <f>"１　定年制　（"&amp;IF(入力!$C$95="","有（　歳），無",入力!$C$95)&amp;"）"&amp;CHAR(10)&amp;"２　継続雇用制度（"&amp;IF(入力!$C$96="","有（　歳まで），無",入力!$C$96)&amp;"）"&amp;CHAR(10)&amp;"３　創業支援等措置（"&amp;IF(入力!$C$97="","有（　歳まで業務委託・社会貢献事業），無",入力!$C$97)&amp;"）"&amp;CHAR(10)&amp;"４　自己都合退職の手続（退職する　"&amp;IF(入力!$C$98="","　",TEXT(入力!$C$98,IF(入力!$C$98=INT(N(入力!$C$98)),"0","0.##")))&amp;"日以上前に届け出ること）"&amp;CHAR(10)&amp;"５　解雇の事由及び手続　"&amp;IF(入力!$C$99="","　　　　　　　　　　　　　　　　　　　　　",入力!$C$99)&amp;CHAR(10)&amp;"○詳細は、就業規則　"&amp;IF(入力!$C$100="","第　条～第　条、第　条～第　条",入力!$C$100)</f>
        <v>１　定年制　（有（　歳），無）
２　継続雇用制度（有（　歳まで），無）
３　創業支援等措置（有（　歳まで業務委託・社会貢献事業），無）
４　自己都合退職の手続（退職する　　日以上前に届け出ること）
５　解雇の事由及び手続　　　　　　　　　　　　　　　　　　　　　　
○詳細は、就業規則　第　条～第　条、第　条～第　条</v>
      </c>
      <c r="D20" s="47"/>
      <c r="E20" s="47"/>
      <c r="F20" s="47"/>
      <c r="G20" s="47"/>
      <c r="H20" s="47"/>
      <c r="I20" s="47"/>
      <c r="J20" s="47"/>
      <c r="K20" s="47"/>
      <c r="L20" s="47"/>
    </row>
    <row r="21" spans="1:12" ht="143" customHeight="1">
      <c r="A21" s="46" t="s">
        <v>182</v>
      </c>
      <c r="B21" s="46" t="s">
        <v>182</v>
      </c>
      <c r="C21" s="47" t="str">
        <f>"・社会保険の加入状況（"&amp;IF(入力!$C$101="","厚生年金　健康保険　その他（　　　）",入力!$C$101)&amp;"）"&amp;CHAR(10)&amp;"・雇用保険の適用（"&amp;IF(入力!$C$102="有","○有","有")&amp;"，"&amp;IF(入力!$C$102="無","○無","無")&amp;"）"&amp;CHAR(10)&amp;"・中小企業退職金共済制度（"&amp;IF(入力!$C$103="","加入している，加入していない",入力!$C$103)&amp;"）（※中小企業の場合）"&amp;CHAR(10)&amp;"・企業年金制度（"&amp;IF(入力!$C$104="","有（制度名　　　　　　），無",入力!$C$104)&amp;"）"&amp;CHAR(10)&amp;"・次の窓口に対して通常の労働者との間の待遇の相違（内容・理由）等について説明を求めることができる。"&amp;CHAR(10)&amp;"　部署名・担当者職氏名・連絡先　"&amp;IF(入力!$C$105="","　　　　　　　　　　　　　　　　　　　",入力!$C$105)&amp;CHAR(10)&amp;"・雇用管理の改善等に関する事項に係る相談窓口"&amp;CHAR(10)&amp;"　部署名・担当者職氏名・連絡先　"&amp;IF(入力!$C$106="","　　　　　　　　　　　　　　　　　　　",入力!$C$106)&amp;CHAR(10)&amp;"・その他（"&amp;IF(入力!$C$107="","　　　　　　　　　　　　　　　　　　　　　　　　　",入力!$C$107)&amp;"）"</f>
        <v>・社会保険の加入状況（厚生年金　健康保険　その他（　　　））
・雇用保険の適用（有，無）
・中小企業退職金共済制度（加入している，加入していない）（※中小企業の場合）
・企業年金制度（有（制度名　　　　　　），無）
・次の窓口に対して通常の労働者との間の待遇の相違（内容・理由）等について説明を求めることができる。
　部署名・担当者職氏名・連絡先　　　　　　　　　　　　　　　　　　　　
・雇用管理の改善等に関する事項に係る相談窓口
　部署名・担当者職氏名・連絡先　　　　　　　　　　　　　　　　　　　　
・その他（　　　　　　　　　　　　　　　　　　　　　　　　　）</v>
      </c>
      <c r="D21" s="47"/>
      <c r="E21" s="47"/>
      <c r="F21" s="47"/>
      <c r="G21" s="47"/>
      <c r="H21" s="47"/>
      <c r="I21" s="47"/>
      <c r="J21" s="47"/>
      <c r="K21" s="47"/>
      <c r="L21" s="47"/>
    </row>
    <row r="22" spans="1:12" ht="85" customHeight="1">
      <c r="A22" s="46" t="s">
        <v>182</v>
      </c>
      <c r="B22" s="46" t="s">
        <v>182</v>
      </c>
      <c r="C22" s="53" t="str">
        <f>"※以下は、「契約期間」について「期間の定めあり」とした場合についての説明です。"&amp;CHAR(10)&amp;"　労働契約法第18条の規定により、有期労働契約（平成25年4月1日以降に開始するもの）の契約期間が通算5年を超える場合には、労働契約の期間の末日までに労働者から申込みをすることにより、当該労働契約の期間の末日の翌日から期間の定めのない労働契約に転換されます。ただし、有期雇用特別措置法による特例の対象となる場合は、無期転換申込権の発生については、特例的に本通知書の「契約期間」の「有期雇用特別措置法による特例の対象者の場合」欄に明示したとおりとなります。"</f>
        <v>※以下は、「契約期間」について「期間の定めあり」とした場合についての説明です。
　労働契約法第18条の規定により、有期労働契約（平成25年4月1日以降に開始するもの）の契約期間が通算5年を超える場合には、労働契約の期間の末日までに労働者から申込みをすることにより、当該労働契約の期間の末日の翌日から期間の定めのない労働契約に転換されます。ただし、有期雇用特別措置法による特例の対象となる場合は、無期転換申込権の発生については、特例的に本通知書の「契約期間」の「有期雇用特別措置法による特例の対象者の場合」欄に明示したとおりとなります。</v>
      </c>
      <c r="D22" s="53"/>
      <c r="E22" s="53"/>
      <c r="F22" s="53"/>
      <c r="G22" s="53"/>
      <c r="H22" s="53"/>
      <c r="I22" s="53"/>
      <c r="J22" s="53"/>
      <c r="K22" s="53"/>
      <c r="L22" s="53"/>
    </row>
    <row r="23" spans="1:12" ht="28" customHeight="1">
      <c r="A23" s="49" t="str">
        <f>"以上のほかは、当社就業規則による。"&amp;CHAR(10)&amp;"就業規則を確認できる場所や方法（"&amp;IF(入力!$C$109="","　　　　　　　　　　　　　　　　",入力!$C$109)&amp;"）"</f>
        <v>以上のほかは、当社就業規則による。
就業規則を確認できる場所や方法（　　　　　　　　　　　　　　　　）</v>
      </c>
      <c r="B23" s="49"/>
      <c r="C23" s="49"/>
      <c r="D23" s="49"/>
      <c r="E23" s="49"/>
      <c r="F23" s="49"/>
      <c r="G23" s="49"/>
      <c r="H23" s="49"/>
      <c r="I23" s="49"/>
      <c r="J23" s="49"/>
      <c r="K23" s="49"/>
      <c r="L23" s="49"/>
    </row>
    <row r="24" spans="1:12" ht="36" customHeight="1">
      <c r="A24" s="54" t="s">
        <v>183</v>
      </c>
      <c r="B24" s="54" t="s">
        <v>183</v>
      </c>
      <c r="C24" s="54" t="s">
        <v>183</v>
      </c>
      <c r="D24" s="54" t="s">
        <v>183</v>
      </c>
      <c r="E24" s="54" t="s">
        <v>183</v>
      </c>
      <c r="F24" s="54" t="s">
        <v>183</v>
      </c>
      <c r="G24" s="54" t="s">
        <v>183</v>
      </c>
      <c r="H24" s="54" t="s">
        <v>183</v>
      </c>
      <c r="I24" s="54" t="s">
        <v>183</v>
      </c>
      <c r="J24" s="54" t="s">
        <v>183</v>
      </c>
      <c r="K24" s="54" t="s">
        <v>183</v>
      </c>
      <c r="L24" s="54" t="s">
        <v>183</v>
      </c>
    </row>
    <row r="25" spans="1:12" ht="20" customHeight="1">
      <c r="A25" s="54" t="s">
        <v>184</v>
      </c>
      <c r="B25" s="54" t="s">
        <v>184</v>
      </c>
      <c r="C25" s="54" t="s">
        <v>184</v>
      </c>
      <c r="D25" s="54" t="s">
        <v>184</v>
      </c>
      <c r="E25" s="54" t="s">
        <v>184</v>
      </c>
      <c r="F25" s="54" t="s">
        <v>184</v>
      </c>
      <c r="G25" s="54" t="s">
        <v>184</v>
      </c>
      <c r="H25" s="54" t="s">
        <v>184</v>
      </c>
      <c r="I25" s="54" t="s">
        <v>184</v>
      </c>
      <c r="J25" s="54" t="s">
        <v>184</v>
      </c>
      <c r="K25" s="54" t="s">
        <v>184</v>
      </c>
      <c r="L25" s="54" t="s">
        <v>184</v>
      </c>
    </row>
  </sheetData>
  <mergeCells count="36">
    <mergeCell ref="A23:L23"/>
    <mergeCell ref="A24:L24"/>
    <mergeCell ref="A25:L25"/>
    <mergeCell ref="A20:B20"/>
    <mergeCell ref="C20:L20"/>
    <mergeCell ref="A21:B22"/>
    <mergeCell ref="C21:L21"/>
    <mergeCell ref="C22:L22"/>
    <mergeCell ref="A15:L15"/>
    <mergeCell ref="A16:L16"/>
    <mergeCell ref="A17:L17"/>
    <mergeCell ref="A18:B19"/>
    <mergeCell ref="C18:L18"/>
    <mergeCell ref="C19:L19"/>
    <mergeCell ref="A12:B12"/>
    <mergeCell ref="C12:L12"/>
    <mergeCell ref="A13:B13"/>
    <mergeCell ref="C13:L13"/>
    <mergeCell ref="A14:B14"/>
    <mergeCell ref="C14:L14"/>
    <mergeCell ref="A8:L8"/>
    <mergeCell ref="A9:L9"/>
    <mergeCell ref="A10:B10"/>
    <mergeCell ref="C10:L10"/>
    <mergeCell ref="A11:B11"/>
    <mergeCell ref="C11:L11"/>
    <mergeCell ref="A5:D6"/>
    <mergeCell ref="E5:L5"/>
    <mergeCell ref="E6:L6"/>
    <mergeCell ref="A7:B7"/>
    <mergeCell ref="C7:L7"/>
    <mergeCell ref="A1:L1"/>
    <mergeCell ref="A2:L2"/>
    <mergeCell ref="A3:L3"/>
    <mergeCell ref="A4:G4"/>
    <mergeCell ref="H4:L4"/>
  </mergeCells>
  <phoneticPr fontId="17"/>
  <printOptions horizontalCentered="1"/>
  <pageMargins left="0.7" right="0.5" top="0.32" bottom="0.25" header="0.05" footer="0.1"/>
  <pageSetup paperSize="9" scale="91" fitToHeight="2" orientation="portrait"/>
  <rowBreaks count="1" manualBreakCount="1">
    <brk id="17"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autoPageBreaks="0" fitToPage="1"/>
  </sheetPr>
  <dimension ref="A1:L25"/>
  <sheetViews>
    <sheetView showGridLines="0" view="pageBreakPreview" zoomScale="60" zoomScaleNormal="100" workbookViewId="0">
      <selection sqref="A1:L1"/>
    </sheetView>
  </sheetViews>
  <sheetFormatPr baseColWidth="10" defaultColWidth="8.83203125" defaultRowHeight="14"/>
  <cols>
    <col min="1" max="2" width="7" customWidth="1"/>
    <col min="3" max="12" width="7.83203125" customWidth="1"/>
  </cols>
  <sheetData>
    <row r="1" spans="1:12" ht="16" customHeight="1">
      <c r="A1" s="26" t="s">
        <v>185</v>
      </c>
      <c r="B1" s="26" t="s">
        <v>185</v>
      </c>
      <c r="C1" s="26" t="s">
        <v>185</v>
      </c>
      <c r="D1" s="26" t="s">
        <v>185</v>
      </c>
      <c r="E1" s="26" t="s">
        <v>185</v>
      </c>
      <c r="F1" s="26" t="s">
        <v>185</v>
      </c>
      <c r="G1" s="26" t="s">
        <v>185</v>
      </c>
      <c r="H1" s="26" t="s">
        <v>185</v>
      </c>
      <c r="I1" s="26" t="s">
        <v>185</v>
      </c>
      <c r="J1" s="26" t="s">
        <v>185</v>
      </c>
      <c r="K1" s="26" t="s">
        <v>185</v>
      </c>
      <c r="L1" s="26" t="s">
        <v>185</v>
      </c>
    </row>
    <row r="2" spans="1:12" ht="28" customHeight="1">
      <c r="A2" s="27" t="s">
        <v>173</v>
      </c>
      <c r="B2" s="27" t="s">
        <v>173</v>
      </c>
      <c r="C2" s="27" t="s">
        <v>173</v>
      </c>
      <c r="D2" s="27" t="s">
        <v>173</v>
      </c>
      <c r="E2" s="27" t="s">
        <v>173</v>
      </c>
      <c r="F2" s="27" t="s">
        <v>173</v>
      </c>
      <c r="G2" s="27" t="s">
        <v>173</v>
      </c>
      <c r="H2" s="27" t="s">
        <v>173</v>
      </c>
      <c r="I2" s="27" t="s">
        <v>173</v>
      </c>
      <c r="J2" s="27" t="s">
        <v>173</v>
      </c>
      <c r="K2" s="27" t="s">
        <v>173</v>
      </c>
      <c r="L2" s="27" t="s">
        <v>173</v>
      </c>
    </row>
    <row r="3" spans="1:12" ht="5" customHeight="1">
      <c r="A3" s="28"/>
      <c r="B3" s="28"/>
      <c r="C3" s="28"/>
      <c r="D3" s="28"/>
      <c r="E3" s="28"/>
      <c r="F3" s="28"/>
      <c r="G3" s="28"/>
      <c r="H3" s="28"/>
      <c r="I3" s="28"/>
      <c r="J3" s="28"/>
      <c r="K3" s="28"/>
      <c r="L3" s="28"/>
    </row>
    <row r="4" spans="1:12" ht="14" customHeight="1">
      <c r="A4" s="29"/>
      <c r="B4" s="30"/>
      <c r="C4" s="30"/>
      <c r="D4" s="30"/>
      <c r="E4" s="30"/>
      <c r="F4" s="30"/>
      <c r="G4" s="30"/>
      <c r="H4" s="31" t="str">
        <f>IF(入力!$C$6="","　　年　月　日",TEXT(入力!$C$6,"yyyy年m月d日"))</f>
        <v>　　年　月　日</v>
      </c>
      <c r="I4" s="32"/>
      <c r="J4" s="32"/>
      <c r="K4" s="32"/>
      <c r="L4" s="33"/>
    </row>
    <row r="5" spans="1:12" ht="30" customHeight="1">
      <c r="A5" s="34" t="str">
        <f>IF(入力!$C$7="","　　　　　　　　　",入力!$C$7)&amp;"　殿"</f>
        <v>　　　　　　　　　　殿</v>
      </c>
      <c r="B5" s="35"/>
      <c r="C5" s="35"/>
      <c r="D5" s="36"/>
      <c r="E5" s="40" t="str">
        <f>"事業場名称・所在地　"&amp;IF(入力!$C$8="","　　　　　　　　　",入力!$C$8)&amp;CHAR(10)&amp;"　　　　　　　　　"&amp;IF(入力!$C$9="","　　　　　　　　　",入力!$C$9)</f>
        <v>事業場名称・所在地　　　　　　　　　　
　　　　　　　　　　　　　　　　　　</v>
      </c>
      <c r="F5" s="41"/>
      <c r="G5" s="41"/>
      <c r="H5" s="41"/>
      <c r="I5" s="41"/>
      <c r="J5" s="41"/>
      <c r="K5" s="41"/>
      <c r="L5" s="42"/>
    </row>
    <row r="6" spans="1:12" ht="24" customHeight="1">
      <c r="A6" s="37"/>
      <c r="B6" s="38"/>
      <c r="C6" s="38"/>
      <c r="D6" s="39"/>
      <c r="E6" s="43" t="str">
        <f>"使　用　者　職　氏　名　"&amp;IF(入力!$C$10="","　　　　　",入力!$C$10)&amp;"　"&amp;IF(入力!$C$11="","　　　　　",入力!$C$11)</f>
        <v>使　用　者　職　氏　名　　　　　　　　　　　　</v>
      </c>
      <c r="F6" s="44"/>
      <c r="G6" s="44"/>
      <c r="H6" s="44"/>
      <c r="I6" s="44"/>
      <c r="J6" s="44"/>
      <c r="K6" s="44"/>
      <c r="L6" s="45"/>
    </row>
    <row r="7" spans="1:12" ht="116" customHeight="1">
      <c r="A7" s="46" t="s">
        <v>16</v>
      </c>
      <c r="B7" s="46" t="s">
        <v>16</v>
      </c>
      <c r="C7" s="47" t="str">
        <f>IF(入力!$C$13="期間の定めなし","○期間の定めなし","期間の定めなし")&amp;"、"&amp;IF(入力!$C$13="期間の定めあり","○期間の定めあり","期間の定めあり")&amp;"（"&amp;IF(入力!$C$14="","　年　月　日",TEXT(入力!$C$14,"yyyy年m月d日"))&amp;"～"&amp;IF(入力!$C$15="","　年　月　日",TEXT(入力!$C$15,"yyyy年m月d日"))&amp;"）"&amp;CHAR(10)&amp;"※以下は、「契約期間」について「期間の定めあり」とした場合に記入"&amp;CHAR(10)&amp;"１　契約の更新の有無"&amp;CHAR(10)&amp;"　［"&amp;IF(入力!$C$16="自動的に更新する","○自動的に更新する","自動的に更新する")&amp;"・"&amp;IF(入力!$C$16="更新する場合があり得る","○更新する場合があり得る","更新する場合があり得る")&amp;"・"&amp;IF(入力!$C$16="契約の更新はしない","○契約の更新はしない","契約の更新はしない")&amp;"・"&amp;IF(入力!$C$16="その他","○その他","その他")&amp;"（"&amp;IF(入力!$C$17="","　　　",入力!$C$17)&amp;"）］"&amp;CHAR(10)&amp;"２　契約の更新は次により判断する。"&amp;CHAR(10)&amp;"　・契約期間満了時の業務量　　・勤務成績、態度　　　　・能力"&amp;CHAR(10)&amp;"　・会社の経営状況　　・従事している業務の進捗状況"&amp;CHAR(10)&amp;"　・その他（"&amp;IF(入力!$C$18="","　　　　　　　　　　　　　",入力!$C$18)&amp;"）"&amp;CHAR(10)&amp;"３　更新上限の有無（"&amp;IF(入力!$C$19="無","○無","無")&amp;"・"&amp;IF(入力!$C$19="有","○有","有")&amp;"（更新　"&amp;IF(入力!$C$20="","　",TEXT(入力!$C$20,IF(入力!$C$20=INT(N(入力!$C$20)),"0","0.##")))&amp;"回まで／通算契約期間　"&amp;IF(入力!$C$21="","　",TEXT(入力!$C$21,IF(入力!$C$21=INT(N(入力!$C$21)),"0","0.##")))&amp;"年まで））"</f>
        <v>期間の定めなし、期間の定めあり（　年　月　日～　年　月　日）
※以下は、「契約期間」について「期間の定めあり」とした場合に記入
１　契約の更新の有無
　［自動的に更新する・更新する場合があり得る・契約の更新はしない・その他（　　　）］
２　契約の更新は次により判断する。
　・契約期間満了時の業務量　　・勤務成績、態度　　　　・能力
　・会社の経営状況　　・従事している業務の進捗状況
　・その他（　　　　　　　　　　　　　）
３　更新上限の有無（無・有（更新　　回まで／通算契約期間　　年まで））</v>
      </c>
      <c r="D7" s="47"/>
      <c r="E7" s="47"/>
      <c r="F7" s="47"/>
      <c r="G7" s="47"/>
      <c r="H7" s="47"/>
      <c r="I7" s="47"/>
      <c r="J7" s="47"/>
      <c r="K7" s="47"/>
      <c r="L7" s="47"/>
    </row>
    <row r="8" spans="1:12" ht="41" customHeight="1">
      <c r="A8" s="47" t="str">
        <f>"【労働契約法に定める同一の企業との間での通算契約期間が５年を超える有期労働契約の締結の場合】"&amp;CHAR(10)&amp;"　本契約期間中に会社に対して期間の定めのない労働契約（無期労働契約）の締結の申込みをすることにより、本契約期間の末日の翌日（"&amp;IF(入力!$C$22="","　年　月　日",TEXT(入力!$C$22,"yyyy年m月d日"))&amp;"）から、無期労働契約での雇用に転換することができる。この場合の本契約からの労働条件の変更の有無（"&amp;IF(入力!$C$23="無","○無","無")&amp;"・"&amp;IF(入力!$C$23="有（別紙のとおり）","○有（別紙のとおり）","有（別紙のとおり）")&amp;"）"</f>
        <v>【労働契約法に定める同一の企業との間での通算契約期間が５年を超える有期労働契約の締結の場合】
　本契約期間中に会社に対して期間の定めのない労働契約（無期労働契約）の締結の申込みをすることにより、本契約期間の末日の翌日（　年　月　日）から、無期労働契約での雇用に転換することができる。この場合の本契約からの労働条件の変更の有無（無・有（別紙のとおり））</v>
      </c>
      <c r="B8" s="47"/>
      <c r="C8" s="47"/>
      <c r="D8" s="47"/>
      <c r="E8" s="47"/>
      <c r="F8" s="47"/>
      <c r="G8" s="47"/>
      <c r="H8" s="47"/>
      <c r="I8" s="47"/>
      <c r="J8" s="47"/>
      <c r="K8" s="47"/>
      <c r="L8" s="47"/>
    </row>
    <row r="9" spans="1:12" ht="56" customHeight="1">
      <c r="A9" s="47" t="str">
        <f>"【有期雇用特別措置法による特例の対象者の場合】"&amp;CHAR(10)&amp;"　無期転換申込権が発生しない期間：　Ⅰ（高度専門）・Ⅱ（定年後の高齢者）　　対象："&amp;IF(入力!$C$24="","　　　　　　",入力!$C$24)&amp;CHAR(10)&amp;"　Ⅰ　特定有期業務の開始から完了までの期間（　"&amp;IF(入力!$C$25="","　",TEXT(入力!$C$25,IF(入力!$C$25=INT(N(入力!$C$25)),"0","0.##")))&amp;"か月（上限10年））"&amp;CHAR(10)&amp;"　Ⅱ　定年後引き続いて雇用されている期間"</f>
        <v>【有期雇用特別措置法による特例の対象者の場合】
　無期転換申込権が発生しない期間：　Ⅰ（高度専門）・Ⅱ（定年後の高齢者）　　対象：　　　　　　
　Ⅰ　特定有期業務の開始から完了までの期間（　　か月（上限10年））
　Ⅱ　定年後引き続いて雇用されている期間</v>
      </c>
      <c r="B9" s="47"/>
      <c r="C9" s="47"/>
      <c r="D9" s="47"/>
      <c r="E9" s="47"/>
      <c r="F9" s="47"/>
      <c r="G9" s="47"/>
      <c r="H9" s="47"/>
      <c r="I9" s="47"/>
      <c r="J9" s="47"/>
      <c r="K9" s="47"/>
      <c r="L9" s="47"/>
    </row>
    <row r="10" spans="1:12" ht="28" customHeight="1">
      <c r="A10" s="48" t="s">
        <v>174</v>
      </c>
      <c r="B10" s="48" t="s">
        <v>174</v>
      </c>
      <c r="C10" s="49" t="str">
        <f>"（雇入れ直後）"&amp;IF(入力!$C$27="","　　　　　　　　　　　",入力!$C$27)&amp;CHAR(10)&amp;"（変更の範囲）"&amp;IF(入力!$C$28="","　　　　　　　　　　　",入力!$C$28)</f>
        <v>（雇入れ直後）　　　　　　　　　　　
（変更の範囲）　　　　　　　　　　　</v>
      </c>
      <c r="D10" s="49"/>
      <c r="E10" s="49"/>
      <c r="F10" s="49"/>
      <c r="G10" s="49"/>
      <c r="H10" s="49"/>
      <c r="I10" s="49"/>
      <c r="J10" s="49"/>
      <c r="K10" s="49"/>
      <c r="L10" s="49"/>
    </row>
    <row r="11" spans="1:12" ht="54" customHeight="1">
      <c r="A11" s="48" t="s">
        <v>175</v>
      </c>
      <c r="B11" s="48" t="s">
        <v>175</v>
      </c>
      <c r="C11" s="47" t="str">
        <f>"（雇入れ直後）"&amp;IF(入力!$C$29="","　　　　　　　　　　　",入力!$C$29)&amp;CHAR(10)&amp;"（変更の範囲）"&amp;IF(入力!$C$30="","　　　　　　　　　　　",入力!$C$30)&amp;CHAR(10)&amp;"【有期雇用特別措置法による特例の対象者（高度専門）の場合】"&amp;CHAR(10)&amp;"・特定有期業務（"&amp;IF(入力!$C$31="","　　　　　　　　　",入力!$C$31)&amp;"　開始日："&amp;IF(入力!$C$32="","　　　　",TEXT(入力!$C$32,"yyyy年m月d日"))&amp;"　完了日："&amp;IF(入力!$C$33="","　　　　",TEXT(入力!$C$33,"yyyy年m月d日"))&amp;"）"</f>
        <v>（雇入れ直後）　　　　　　　　　　　
（変更の範囲）　　　　　　　　　　　
【有期雇用特別措置法による特例の対象者（高度専門）の場合】
・特定有期業務（　　　　　　　　　　開始日：　　　　　完了日：　　　　）</v>
      </c>
      <c r="D11" s="47"/>
      <c r="E11" s="47"/>
      <c r="F11" s="47"/>
      <c r="G11" s="47"/>
      <c r="H11" s="47"/>
      <c r="I11" s="47"/>
      <c r="J11" s="47"/>
      <c r="K11" s="47"/>
      <c r="L11" s="47"/>
    </row>
    <row r="12" spans="1:12" ht="276" customHeight="1">
      <c r="A12" s="50" t="s">
        <v>176</v>
      </c>
      <c r="B12" s="50" t="s">
        <v>176</v>
      </c>
      <c r="C12" s="50" t="str">
        <f>"１　始業・終業の時刻等"&amp;CHAR(10)&amp;"(1) 始業（"&amp;IF(入力!$C$35="","　時　分",入力!$C$35)&amp;"）　終業（"&amp;IF(入力!$C$36="","　時　分",入力!$C$36)&amp;"）"&amp;CHAR(10)&amp;"【以下のような制度が労働者に適用される場合】"&amp;CHAR(10)&amp;"(2) 変形労働時間制等；（"&amp;IF(入力!$C$37="","　",入力!$C$37)&amp;"）単位の変形労働時間制・交替制として、次の勤務時間の組み合わせによる。"&amp;CHAR(10)&amp;"　├ "&amp;IF(入力!$C$38="","始業（　時　分）終業（　時　分）（適用日　　　　）",入力!$C$38)&amp;CHAR(10)&amp;"　├ "&amp;IF(入力!$C$39="","始業（　時　分）終業（　時　分）（適用日　　　　）",入力!$C$39)&amp;CHAR(10)&amp;"　└ "&amp;IF(入力!$C$40="","始業（　時　分）終業（　時　分）（適用日　　　　）",入力!$C$40)&amp;CHAR(10)&amp;"(3) フレックスタイム制；始業及び終業の時刻は労働者の決定に委ねる。"&amp;CHAR(10)&amp;"　（ただし、フレキシブルタイム　"&amp;IF(入力!$C$41="","（始業）　時　分から　時　分、（終業）　時　分から　時　分",入力!$C$41)&amp;"、"&amp;CHAR(10)&amp;"　　　　　　　　コアタイム　"&amp;IF(入力!$C$42="","　時　分から　時　分",入力!$C$42)&amp;"）"&amp;CHAR(10)&amp;"(4) 事業場外みなし労働時間制；"&amp;IF(入力!$C$43="","始業（　時　分）終業（　時　分）",入力!$C$43)&amp;CHAR(10)&amp;"(5) 裁量労働制；"&amp;IF(入力!$C$44="","始業（　時　分）終業（　時　分）",入力!$C$44)&amp;"を基本とし、労働者の決定に委ねる。"&amp;CHAR(10)&amp;"○詳細は、就業規則　"&amp;IF(入力!$C$45="","第　条～第　条、第　条～第　条、第　条～第　条",入力!$C$45)&amp;CHAR(10)&amp;"２　休憩時間（"&amp;IF(入力!$C$46="","　",TEXT(入力!$C$46,IF(入力!$C$46=INT(N(入力!$C$46)),"0","0.##")))&amp;"）分"&amp;CHAR(10)&amp;"３　所定時間外労働の有無（"&amp;IF(入力!$C$47="有","○有","有")&amp;"，"&amp;IF(入力!$C$47="無","○無","無")&amp;"）"&amp;CHAR(10)&amp;"４　休日労働（"&amp;IF(入力!$C$48="有","○有","有")&amp;"（１週　"&amp;IF(入力!$C$49="","　",入力!$C$49)&amp;"時間、１か月　"&amp;IF(入力!$C$50="","　日・　時間",入力!$C$50)&amp;"、１年　"&amp;IF(入力!$C$51="","　日",入力!$C$51)&amp;"），"&amp;IF(入力!$C$48="無","○無","無")&amp;"）"</f>
        <v>１　始業・終業の時刻等
(1) 始業（　時　分）　終業（　時　分）
【以下のような制度が労働者に適用される場合】
(2) 変形労働時間制等；（　）単位の変形労働時間制・交替制として、次の勤務時間の組み合わせによる。
　├ 始業（　時　分）終業（　時　分）（適用日　　　　）
　├ 始業（　時　分）終業（　時　分）（適用日　　　　）
　└ 始業（　時　分）終業（　時　分）（適用日　　　　）
(3) フレックスタイム制；始業及び終業の時刻は労働者の決定に委ねる。
　（ただし、フレキシブルタイム　（始業）　時　分から　時　分、（終業）　時　分から　時　分、
　　　　　　　　コアタイム　　時　分から　時　分）
(4) 事業場外みなし労働時間制；始業（　時　分）終業（　時　分）
(5) 裁量労働制；始業（　時　分）終業（　時　分）を基本とし、労働者の決定に委ねる。
○詳細は、就業規則　第　条～第　条、第　条～第　条、第　条～第　条
２　休憩時間（　）分
３　所定時間外労働の有無（有，無）
４　休日労働（有（１週　　時間、１か月　　日・　時間、１年　　日），無）</v>
      </c>
      <c r="D12" s="50"/>
      <c r="E12" s="50"/>
      <c r="F12" s="50"/>
      <c r="G12" s="50"/>
      <c r="H12" s="50"/>
      <c r="I12" s="50"/>
      <c r="J12" s="50"/>
      <c r="K12" s="50"/>
      <c r="L12" s="50"/>
    </row>
    <row r="13" spans="1:12" ht="66" customHeight="1">
      <c r="A13" s="46" t="s">
        <v>186</v>
      </c>
      <c r="B13" s="46" t="s">
        <v>186</v>
      </c>
      <c r="C13" s="47" t="str">
        <f>"・定例日；毎週　"&amp;IF(入力!$C$53="","　曜日",入力!$C$53)&amp;"、国民の祝日、その他（"&amp;IF(入力!$C$54="","　　　　　　　　　",入力!$C$54)&amp;"）"&amp;CHAR(10)&amp;"・非定例日；"&amp;IF(入力!$C$55="","週・月当たり　日、その他（　　　　　　）",入力!$C$55)&amp;CHAR(10)&amp;"・１年単位の変形労働時間制の場合－年間　"&amp;IF(入力!$C$56="","　",TEXT(入力!$C$56,IF(入力!$C$56=INT(N(入力!$C$56)),"0","0.##")))&amp;"日"&amp;CHAR(10)&amp;"　（勤務日）毎週（"&amp;IF(入力!$C$57="","　　　　　　　",入力!$C$57)&amp;"）、その他（"&amp;IF(入力!$C$58="","　　　　　　　",入力!$C$58)&amp;"）"&amp;CHAR(10)&amp;"○詳細は、就業規則　"&amp;IF(入力!$C$59="","第　条～第　条、第　条～第　条",入力!$C$59)</f>
        <v>・定例日；毎週　　曜日、国民の祝日、その他（　　　　　　　　　）
・非定例日；週・月当たり　日、その他（　　　　　　）
・１年単位の変形労働時間制の場合－年間　　日
　（勤務日）毎週（　　　　　　　）、その他（　　　　　　　）
○詳細は、就業規則　第　条～第　条、第　条～第　条</v>
      </c>
      <c r="D13" s="47"/>
      <c r="E13" s="47"/>
      <c r="F13" s="47"/>
      <c r="G13" s="47"/>
      <c r="H13" s="47"/>
      <c r="I13" s="47"/>
      <c r="J13" s="47"/>
      <c r="K13" s="47"/>
      <c r="L13" s="47"/>
    </row>
    <row r="14" spans="1:12" ht="100" customHeight="1">
      <c r="A14" s="46" t="s">
        <v>178</v>
      </c>
      <c r="B14" s="46" t="s">
        <v>178</v>
      </c>
      <c r="C14" s="47" t="str">
        <f>"１　年次有給休暇　６か月継続勤務した場合→　"&amp;IF(入力!$C$60="","　",TEXT(入力!$C$60,IF(入力!$C$60=INT(N(入力!$C$60)),"0","0.##")))&amp;"日"&amp;CHAR(10)&amp;"　　　　　　　　 継続勤務６か月以内の年次有給休暇　（"&amp;IF(入力!$C$61="有","○有","有")&amp;"・"&amp;IF(入力!$C$61="無","○無","無")&amp;"）"&amp;CHAR(10)&amp;"　　　　　　　　 →　"&amp;IF(入力!$C$62="","　",TEXT(入力!$C$62,IF(入力!$C$62=INT(N(入力!$C$62)),"0","0.##")))&amp;"か月経過で　"&amp;IF(入力!$C$63="","　",TEXT(入力!$C$63,IF(入力!$C$63=INT(N(入力!$C$63)),"0","0.##")))&amp;"日"&amp;CHAR(10)&amp;"　　　　　　　　 時間単位年休（"&amp;IF(入力!$C$64="有","○有","有")&amp;"・"&amp;IF(入力!$C$64="無","○無","無")&amp;"）"&amp;CHAR(10)&amp;"２　代替休暇（"&amp;IF(入力!$C$65="有","○有","有")&amp;"・"&amp;IF(入力!$C$65="無","○無","無")&amp;"）"&amp;CHAR(10)&amp;"３　その他の休暇　有給（"&amp;IF(入力!$C$66="","　　　　　　　　　　　",入力!$C$66)&amp;"）"&amp;CHAR(10)&amp;"　　　　　　　　　無給（"&amp;IF(入力!$C$67="","　　　　　　　　　　　",入力!$C$67)&amp;"）"&amp;CHAR(10)&amp;"○詳細は、就業規則　"&amp;IF(入力!$C$68="","第　条～第　条、第　条～第　条",入力!$C$68)</f>
        <v>１　年次有給休暇　６か月継続勤務した場合→　　日
　　　　　　　　 継続勤務６か月以内の年次有給休暇　（有・無）
　　　　　　　　 →　　か月経過で　　日
　　　　　　　　 時間単位年休（有・無）
２　代替休暇（有・無）
３　その他の休暇　有給（　　　　　　　　　　　）
　　　　　　　　　無給（　　　　　　　　　　　）
○詳細は、就業規則　第　条～第　条、第　条～第　条</v>
      </c>
      <c r="D14" s="47"/>
      <c r="E14" s="47"/>
      <c r="F14" s="47"/>
      <c r="G14" s="47"/>
      <c r="H14" s="47"/>
      <c r="I14" s="47"/>
      <c r="J14" s="47"/>
      <c r="K14" s="47"/>
      <c r="L14" s="47"/>
    </row>
    <row r="15" spans="1:12" ht="14" customHeight="1">
      <c r="A15" s="51" t="s">
        <v>179</v>
      </c>
      <c r="B15" s="51" t="s">
        <v>179</v>
      </c>
      <c r="C15" s="51" t="s">
        <v>179</v>
      </c>
      <c r="D15" s="51" t="s">
        <v>179</v>
      </c>
      <c r="E15" s="51" t="s">
        <v>179</v>
      </c>
      <c r="F15" s="51" t="s">
        <v>179</v>
      </c>
      <c r="G15" s="51" t="s">
        <v>179</v>
      </c>
      <c r="H15" s="51" t="s">
        <v>179</v>
      </c>
      <c r="I15" s="51" t="s">
        <v>179</v>
      </c>
      <c r="J15" s="51" t="s">
        <v>179</v>
      </c>
      <c r="K15" s="51" t="s">
        <v>179</v>
      </c>
      <c r="L15" s="51" t="s">
        <v>179</v>
      </c>
    </row>
    <row r="16" spans="1:12" ht="1" customHeight="1">
      <c r="A16" s="28"/>
      <c r="B16" s="28"/>
      <c r="C16" s="28"/>
      <c r="D16" s="28"/>
      <c r="E16" s="28"/>
      <c r="F16" s="28"/>
      <c r="G16" s="28"/>
      <c r="H16" s="28"/>
      <c r="I16" s="28"/>
      <c r="J16" s="28"/>
      <c r="K16" s="28"/>
      <c r="L16" s="28"/>
    </row>
    <row r="17" spans="1:12" ht="10" customHeight="1">
      <c r="A17" s="28"/>
      <c r="B17" s="28"/>
      <c r="C17" s="28"/>
      <c r="D17" s="28"/>
      <c r="E17" s="28"/>
      <c r="F17" s="28"/>
      <c r="G17" s="28"/>
      <c r="H17" s="28"/>
      <c r="I17" s="28"/>
      <c r="J17" s="28"/>
      <c r="K17" s="28"/>
      <c r="L17" s="28"/>
    </row>
    <row r="18" spans="1:12" ht="310" customHeight="1">
      <c r="A18" s="46" t="s">
        <v>180</v>
      </c>
      <c r="B18" s="46" t="s">
        <v>180</v>
      </c>
      <c r="C18" s="50" t="str">
        <f>"１　基本賃金　イ　月給（"&amp;IF(入力!$C$70="","　　　　　",TEXT(入力!$C$70,"#,##0"))&amp;"円）、ロ　日給（"&amp;IF(入力!$C$71="","　　　　　",TEXT(入力!$C$71,"#,##0"))&amp;"円）"&amp;CHAR(10)&amp;"　　　　　　　ハ　時間給（"&amp;IF(入力!$C$72="","　　　　　",TEXT(入力!$C$72,"#,##0"))&amp;"円）、"&amp;CHAR(10)&amp;"　　　　　　　ニ　出来高給（基本単価　"&amp;IF(入力!$C$73="","　　　　　",TEXT(入力!$C$73,"#,##0"))&amp;"円、保障給　"&amp;IF(入力!$C$74="","　　　　　",TEXT(入力!$C$74,"#,##0"))&amp;"円）"&amp;CHAR(10)&amp;"　　　　　　　ホ　その他（"&amp;IF(入力!$C$75="","　　　　　",TEXT(入力!$C$75,"#,##0"))&amp;"円）"&amp;CHAR(10)&amp;"　　　　　　　ヘ　就業規則に規定されている賃金等級等　"&amp;IF(入力!$C$76="","　　　　　　　　　　　　　　",入力!$C$76)&amp;CHAR(10)&amp;""&amp;CHAR(10)&amp;"２　諸手当の額又は計算方法"&amp;CHAR(10)&amp;"　イ（"&amp;IF(入力!$C$77="","　　　手当　　　円 ／計算方法：　　　　　　　　　",入力!$C$77)&amp;"）"&amp;CHAR(10)&amp;"　ロ（"&amp;IF(入力!$C$78="","　　　手当　　　円 ／計算方法：　　　　　　　　　",入力!$C$78)&amp;"）"&amp;CHAR(10)&amp;"　ハ（"&amp;IF(入力!$C$79="","　　　手当　　　円 ／計算方法：　　　　　　　　　",入力!$C$79)&amp;"）"&amp;CHAR(10)&amp;"　ニ（"&amp;IF(入力!$C$80="","　　　手当　　　円 ／計算方法：　　　　　　　　　",入力!$C$80)&amp;"）"&amp;CHAR(10)&amp;"３　所定時間外、休日又は深夜労働に対して支払われる割増賃金率"&amp;CHAR(10)&amp;"　イ　所定時間外、法定超　月６０時間以内（"&amp;IF(入力!$C$81="","　",TEXT(入力!$C$81,IF(入力!$C$81=INT(N(入力!$C$81)),"0","0.##")))&amp;"）％"&amp;CHAR(10)&amp;"　　　　　　　　　　　　　月６０時間超　（"&amp;IF(入力!$C$82="","　",TEXT(入力!$C$82,IF(入力!$C$82=INT(N(入力!$C$82)),"0","0.##")))&amp;"）％"&amp;CHAR(10)&amp;"　　　　　　　　　所定超　（"&amp;IF(入力!$C$83="","　",TEXT(入力!$C$83,IF(入力!$C$83=INT(N(入力!$C$83)),"0","0.##")))&amp;"）％"&amp;CHAR(10)&amp;"　ロ　休日　法定休日（"&amp;IF(入力!$C$84="","　",TEXT(入力!$C$84,IF(入力!$C$84=INT(N(入力!$C$84)),"0","0.##")))&amp;"）％、法定外休日（"&amp;IF(入力!$C$85="","　",TEXT(入力!$C$85,IF(入力!$C$85=INT(N(入力!$C$85)),"0","0.##")))&amp;"）％"&amp;CHAR(10)&amp;"　ハ　深夜（"&amp;IF(入力!$C$86="","　",TEXT(入力!$C$86,IF(入力!$C$86=INT(N(入力!$C$86)),"0","0.##")))&amp;"）％"&amp;CHAR(10)&amp;"４　賃金締切日（"&amp;IF(入力!$C$87="","　　　　　",入力!$C$87)&amp;"）"&amp;CHAR(10)&amp;"５　賃金支払日（"&amp;IF(入力!$C$88="","　　　　　",入力!$C$88)&amp;"）"&amp;CHAR(10)&amp;"６　賃金の支払方法（"&amp;IF(入力!$C$89="","　　　　　　　　　　　",入力!$C$89)&amp;"）"</f>
        <v>１　基本賃金　イ　月給（　　　　　円）、ロ　日給（　　　　　円）
　　　　　　　ハ　時間給（　　　　　円）、
　　　　　　　ニ　出来高給（基本単価　　　　　　円、保障給　　　　　　円）
　　　　　　　ホ　その他（　　　　　円）
　　　　　　　ヘ　就業規則に規定されている賃金等級等　　　　　　　　　　　　　　　
２　諸手当の額又は計算方法
　イ（　　　手当　　　円 ／計算方法：　　　　　　　　　）
　ロ（　　　手当　　　円 ／計算方法：　　　　　　　　　）
　ハ（　　　手当　　　円 ／計算方法：　　　　　　　　　）
　ニ（　　　手当　　　円 ／計算方法：　　　　　　　　　）
３　所定時間外、休日又は深夜労働に対して支払われる割増賃金率
　イ　所定時間外、法定超　月６０時間以内（　）％
　　　　　　　　　　　　　月６０時間超　（　）％
　　　　　　　　　所定超　（　）％
　ロ　休日　法定休日（　）％、法定外休日（　）％
　ハ　深夜（　）％
４　賃金締切日（　　　　　）
５　賃金支払日（　　　　　）
６　賃金の支払方法（　　　　　　　　　　　）</v>
      </c>
      <c r="D18" s="50"/>
      <c r="E18" s="50"/>
      <c r="F18" s="50"/>
      <c r="G18" s="50"/>
      <c r="H18" s="50"/>
      <c r="I18" s="50"/>
      <c r="J18" s="50"/>
      <c r="K18" s="50"/>
      <c r="L18" s="50"/>
    </row>
    <row r="19" spans="1:12" ht="70" customHeight="1">
      <c r="A19" s="46" t="s">
        <v>180</v>
      </c>
      <c r="B19" s="46" t="s">
        <v>180</v>
      </c>
      <c r="C19" s="52" t="str">
        <f>"７　労使協定に基づく賃金支払時の控除（"&amp;IF(入力!$C$90="","無　，　有（　　　）",入力!$C$90)&amp;"）"&amp;CHAR(10)&amp;"８　昇給（"&amp;IF(入力!$C$91="","有（時期、金額等　　　　　），無",入力!$C$91)&amp;"）"&amp;CHAR(10)&amp;"９　賞与（"&amp;IF(入力!$C$92="","有（時期、金額等　　　　　），無",入力!$C$92)&amp;"）"&amp;CHAR(10)&amp;"10　退職金（"&amp;IF(入力!$C$93="","有（時期、金額等　　　　　），無",入力!$C$93)&amp;"）"</f>
        <v>７　労使協定に基づく賃金支払時の控除（無　，　有（　　　））
８　昇給（有（時期、金額等　　　　　），無）
９　賞与（有（時期、金額等　　　　　），無）
10　退職金（有（時期、金額等　　　　　），無）</v>
      </c>
      <c r="D19" s="52"/>
      <c r="E19" s="52"/>
      <c r="F19" s="52"/>
      <c r="G19" s="52"/>
      <c r="H19" s="52"/>
      <c r="I19" s="52"/>
      <c r="J19" s="52"/>
      <c r="K19" s="52"/>
      <c r="L19" s="52"/>
    </row>
    <row r="20" spans="1:12" ht="84" customHeight="1">
      <c r="A20" s="46" t="s">
        <v>181</v>
      </c>
      <c r="B20" s="46" t="s">
        <v>181</v>
      </c>
      <c r="C20" s="47" t="str">
        <f>"１　定年制　（"&amp;IF(入力!$C$95="","有（　歳），無",入力!$C$95)&amp;"）"&amp;CHAR(10)&amp;"２　継続雇用制度（"&amp;IF(入力!$C$96="","有（　歳まで），無",入力!$C$96)&amp;"）"&amp;CHAR(10)&amp;"３　創業支援等措置（"&amp;IF(入力!$C$97="","有（　歳まで業務委託・社会貢献事業），無",入力!$C$97)&amp;"）"&amp;CHAR(10)&amp;"４　自己都合退職の手続（退職する　"&amp;IF(入力!$C$98="","　",TEXT(入力!$C$98,IF(入力!$C$98=INT(N(入力!$C$98)),"0","0.##")))&amp;"日以上前に届け出ること）"&amp;CHAR(10)&amp;"５　解雇の事由及び手続　"&amp;IF(入力!$C$99="","　　　　　　　　　　　　　　　　　　　　　",入力!$C$99)&amp;CHAR(10)&amp;"○詳細は、就業規則　"&amp;IF(入力!$C$100="","第　条～第　条、第　条～第　条",入力!$C$100)</f>
        <v>１　定年制　（有（　歳），無）
２　継続雇用制度（有（　歳まで），無）
３　創業支援等措置（有（　歳まで業務委託・社会貢献事業），無）
４　自己都合退職の手続（退職する　　日以上前に届け出ること）
５　解雇の事由及び手続　　　　　　　　　　　　　　　　　　　　　　
○詳細は、就業規則　第　条～第　条、第　条～第　条</v>
      </c>
      <c r="D20" s="47"/>
      <c r="E20" s="47"/>
      <c r="F20" s="47"/>
      <c r="G20" s="47"/>
      <c r="H20" s="47"/>
      <c r="I20" s="47"/>
      <c r="J20" s="47"/>
      <c r="K20" s="47"/>
      <c r="L20" s="47"/>
    </row>
    <row r="21" spans="1:12" ht="148" customHeight="1">
      <c r="A21" s="46" t="s">
        <v>182</v>
      </c>
      <c r="B21" s="46" t="s">
        <v>182</v>
      </c>
      <c r="C21" s="47" t="str">
        <f>"・社会保険の加入状況（"&amp;IF(入力!$C$101="","厚生年金　健康保険　その他（　　　）",入力!$C$101)&amp;"）"&amp;CHAR(10)&amp;"・雇用保険の適用（"&amp;IF(入力!$C$102="有","○有","有")&amp;"，"&amp;IF(入力!$C$102="無","○無","無")&amp;"）"&amp;CHAR(10)&amp;"・中小企業退職金共済制度（"&amp;IF(入力!$C$103="","加入している，加入していない",入力!$C$103)&amp;"）（※中小企業の場合）"&amp;CHAR(10)&amp;"・企業年金制度（"&amp;IF(入力!$C$104="","有（制度名　　　　　　），無",入力!$C$104)&amp;"）"&amp;CHAR(10)&amp;"・次の窓口に対して通常の労働者との間の待遇の相違（内容・理由）等について説明を求めることができる。"&amp;CHAR(10)&amp;"　部署名・担当者職氏名・連絡先　"&amp;IF(入力!$C$105="","　　　　　　　　　　　　　　　　　　　",入力!$C$105)&amp;CHAR(10)&amp;"・雇用管理の改善等に関する事項に係る相談窓口"&amp;CHAR(10)&amp;"　部署名・担当者職氏名・連絡先　"&amp;IF(入力!$C$106="","　　　　　　　　　　　　　　　　　　　",入力!$C$106)&amp;CHAR(10)&amp;"・その他（"&amp;IF(入力!$C$107="","　　　　　　　　　　　　　　　　　　　　　　　　　",入力!$C$107)&amp;"）"&amp;CHAR(10)&amp;"・具体的に適用される就業規則名（"&amp;IF(入力!$C$108="","　　　　　　　　　　　　　　",入力!$C$108)&amp;"）"</f>
        <v>・社会保険の加入状況（厚生年金　健康保険　その他（　　　））
・雇用保険の適用（有，無）
・中小企業退職金共済制度（加入している，加入していない）（※中小企業の場合）
・企業年金制度（有（制度名　　　　　　），無）
・次の窓口に対して通常の労働者との間の待遇の相違（内容・理由）等について説明を求めることができる。
　部署名・担当者職氏名・連絡先　　　　　　　　　　　　　　　　　　　　
・雇用管理の改善等に関する事項に係る相談窓口
　部署名・担当者職氏名・連絡先　　　　　　　　　　　　　　　　　　　　
・その他（　　　　　　　　　　　　　　　　　　　　　　　　　）
・具体的に適用される就業規則名（　　　　　　　　　　　　　　）</v>
      </c>
      <c r="D21" s="47"/>
      <c r="E21" s="47"/>
      <c r="F21" s="47"/>
      <c r="G21" s="47"/>
      <c r="H21" s="47"/>
      <c r="I21" s="47"/>
      <c r="J21" s="47"/>
      <c r="K21" s="47"/>
      <c r="L21" s="47"/>
    </row>
    <row r="22" spans="1:12" ht="85" customHeight="1">
      <c r="A22" s="46" t="s">
        <v>182</v>
      </c>
      <c r="B22" s="46" t="s">
        <v>182</v>
      </c>
      <c r="C22" s="53" t="str">
        <f>"※以下は、「契約期間」について「期間の定めあり」とした場合についての説明です。"&amp;CHAR(10)&amp;"　労働契約法第18条の規定により、有期労働契約（平成25年4月1日以降に開始するもの）の契約期間が通算5年を超える場合には、労働契約の期間の末日までに労働者から申込みをすることにより、当該労働契約の期間の末日の翌日から期間の定めのない労働契約に転換されます。ただし、有期雇用特別措置法による特例の対象となる場合は、無期転換申込権の発生については、特例的に本通知書の「契約期間」の「有期雇用特別措置法による特例の対象者の場合」欄に明示したとおりとなります。"</f>
        <v>※以下は、「契約期間」について「期間の定めあり」とした場合についての説明です。
　労働契約法第18条の規定により、有期労働契約（平成25年4月1日以降に開始するもの）の契約期間が通算5年を超える場合には、労働契約の期間の末日までに労働者から申込みをすることにより、当該労働契約の期間の末日の翌日から期間の定めのない労働契約に転換されます。ただし、有期雇用特別措置法による特例の対象となる場合は、無期転換申込権の発生については、特例的に本通知書の「契約期間」の「有期雇用特別措置法による特例の対象者の場合」欄に明示したとおりとなります。</v>
      </c>
      <c r="D22" s="53"/>
      <c r="E22" s="53"/>
      <c r="F22" s="53"/>
      <c r="G22" s="53"/>
      <c r="H22" s="53"/>
      <c r="I22" s="53"/>
      <c r="J22" s="53"/>
      <c r="K22" s="53"/>
      <c r="L22" s="53"/>
    </row>
    <row r="23" spans="1:12" ht="35" customHeight="1">
      <c r="A23" s="49" t="str">
        <f>"以上のほかは、当社就業規則による。"&amp;CHAR(10)&amp;"就業規則を確認できる場所や方法（"&amp;IF(入力!$C$109="","　　　　　　　　　　　　　　　　",入力!$C$109)&amp;"）"</f>
        <v>以上のほかは、当社就業規則による。
就業規則を確認できる場所や方法（　　　　　　　　　　　　　　　　）</v>
      </c>
      <c r="B23" s="49"/>
      <c r="C23" s="49"/>
      <c r="D23" s="49"/>
      <c r="E23" s="49"/>
      <c r="F23" s="49"/>
      <c r="G23" s="49"/>
      <c r="H23" s="49"/>
      <c r="I23" s="49"/>
      <c r="J23" s="49"/>
      <c r="K23" s="49"/>
      <c r="L23" s="49"/>
    </row>
    <row r="24" spans="1:12" ht="36" customHeight="1">
      <c r="A24" s="54" t="s">
        <v>183</v>
      </c>
      <c r="B24" s="54" t="s">
        <v>183</v>
      </c>
      <c r="C24" s="54" t="s">
        <v>183</v>
      </c>
      <c r="D24" s="54" t="s">
        <v>183</v>
      </c>
      <c r="E24" s="54" t="s">
        <v>183</v>
      </c>
      <c r="F24" s="54" t="s">
        <v>183</v>
      </c>
      <c r="G24" s="54" t="s">
        <v>183</v>
      </c>
      <c r="H24" s="54" t="s">
        <v>183</v>
      </c>
      <c r="I24" s="54" t="s">
        <v>183</v>
      </c>
      <c r="J24" s="54" t="s">
        <v>183</v>
      </c>
      <c r="K24" s="54" t="s">
        <v>183</v>
      </c>
      <c r="L24" s="54" t="s">
        <v>183</v>
      </c>
    </row>
    <row r="25" spans="1:12" ht="20" customHeight="1">
      <c r="A25" s="54" t="s">
        <v>184</v>
      </c>
      <c r="B25" s="54" t="s">
        <v>184</v>
      </c>
      <c r="C25" s="54" t="s">
        <v>184</v>
      </c>
      <c r="D25" s="54" t="s">
        <v>184</v>
      </c>
      <c r="E25" s="54" t="s">
        <v>184</v>
      </c>
      <c r="F25" s="54" t="s">
        <v>184</v>
      </c>
      <c r="G25" s="54" t="s">
        <v>184</v>
      </c>
      <c r="H25" s="54" t="s">
        <v>184</v>
      </c>
      <c r="I25" s="54" t="s">
        <v>184</v>
      </c>
      <c r="J25" s="54" t="s">
        <v>184</v>
      </c>
      <c r="K25" s="54" t="s">
        <v>184</v>
      </c>
      <c r="L25" s="54" t="s">
        <v>184</v>
      </c>
    </row>
  </sheetData>
  <mergeCells count="36">
    <mergeCell ref="A23:L23"/>
    <mergeCell ref="A24:L24"/>
    <mergeCell ref="A25:L25"/>
    <mergeCell ref="A20:B20"/>
    <mergeCell ref="C20:L20"/>
    <mergeCell ref="A21:B22"/>
    <mergeCell ref="C21:L21"/>
    <mergeCell ref="C22:L22"/>
    <mergeCell ref="A15:L15"/>
    <mergeCell ref="A16:L16"/>
    <mergeCell ref="A17:L17"/>
    <mergeCell ref="A18:B19"/>
    <mergeCell ref="C18:L18"/>
    <mergeCell ref="C19:L19"/>
    <mergeCell ref="A12:B12"/>
    <mergeCell ref="C12:L12"/>
    <mergeCell ref="A13:B13"/>
    <mergeCell ref="C13:L13"/>
    <mergeCell ref="A14:B14"/>
    <mergeCell ref="C14:L14"/>
    <mergeCell ref="A8:L8"/>
    <mergeCell ref="A9:L9"/>
    <mergeCell ref="A10:B10"/>
    <mergeCell ref="C10:L10"/>
    <mergeCell ref="A11:B11"/>
    <mergeCell ref="C11:L11"/>
    <mergeCell ref="A5:D6"/>
    <mergeCell ref="E5:L5"/>
    <mergeCell ref="E6:L6"/>
    <mergeCell ref="A7:B7"/>
    <mergeCell ref="C7:L7"/>
    <mergeCell ref="A1:L1"/>
    <mergeCell ref="A2:L2"/>
    <mergeCell ref="A3:L3"/>
    <mergeCell ref="A4:G4"/>
    <mergeCell ref="H4:L4"/>
  </mergeCells>
  <phoneticPr fontId="17"/>
  <printOptions horizontalCentered="1"/>
  <pageMargins left="0.7" right="0.5" top="0.32" bottom="0.25" header="0.05" footer="0.1"/>
  <pageSetup paperSize="9" scale="91" fitToHeight="2" orientation="portrait"/>
  <rowBreaks count="1" manualBreakCount="1">
    <brk id="1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3</vt:i4>
      </vt:variant>
      <vt:variant>
        <vt:lpstr>名前付き一覧</vt:lpstr>
      </vt:variant>
      <vt:variant>
        <vt:i4>2</vt:i4>
      </vt:variant>
    </vt:vector>
  </HeadingPairs>
  <TitlesOfParts>
    <vt:vector size="5" baseType="lpstr">
      <vt:lpstr>入力</vt:lpstr>
      <vt:lpstr>一般労働者用</vt:lpstr>
      <vt:lpstr>短時間労働者用</vt:lpstr>
      <vt:lpstr>一般労働者用!Print_Area</vt:lpstr>
      <vt:lpstr>短時間労働者用!Print_Area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modified xsi:type="dcterms:W3CDTF">2026-08-16T08:08:30Z</dcterms:modified>
</cp:coreProperties>
</file>