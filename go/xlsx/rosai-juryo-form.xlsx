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お読みください" sheetId="1" state="visible" r:id="rId1"/>
    <sheet xmlns:r="http://schemas.openxmlformats.org/officeDocument/2006/relationships" name="提出チェック・添付・返送" sheetId="2" state="visible" r:id="rId2"/>
    <sheet xmlns:r="http://schemas.openxmlformats.org/officeDocument/2006/relationships" name="労災 情報" sheetId="3" state="visible" r:id="rId3"/>
    <sheet xmlns:r="http://schemas.openxmlformats.org/officeDocument/2006/relationships" name="_マスタ（非表示）" sheetId="4" state="hidden" r:id="rId4"/>
    <sheet xmlns:r="http://schemas.openxmlformats.org/officeDocument/2006/relationships" name="_制御（非表示）" sheetId="5" state="hidden" r:id="rId5"/>
  </sheets>
  <definedNames>
    <definedName name="m_性別">'_マスタ（非表示）'!$A$2:$A$3</definedName>
    <definedName name="m_ありなし">'_マスタ（非表示）'!$B$2:$B$3</definedName>
    <definedName name="m_都道府県">'_マスタ（非表示）'!$C$2:$C$48</definedName>
    <definedName name="m_番号提出状態">'_マスタ（非表示）'!$D$2:$D$3</definedName>
    <definedName name="m_後日提出">'_マスタ（非表示）'!$E$2:$E$2</definedName>
    <definedName name="m_雇保番号状態">'_マスタ（非表示）'!$F$2:$F$3</definedName>
    <definedName name="m_災害区分">'_マスタ（非表示）'!$G$2:$G$3</definedName>
    <definedName name="m_請求様式">'_マスタ（非表示）'!$H$2:$H$6</definedName>
    <definedName name="m_労災職種">'_マスタ（非表示）'!$I$2:$I$14</definedName>
    <definedName name="m_他社就業">'_マスタ（非表示）'!$J$2:$J$4</definedName>
    <definedName name="_xlnm.Print_Titles" localSheetId="2">'労災 情報'!$1:$7</definedName>
  </definedNames>
  <calcPr calcId="124519" fullCalcOnLoad="1"/>
</workbook>
</file>

<file path=xl/styles.xml><?xml version="1.0" encoding="utf-8"?>
<styleSheet xmlns="http://schemas.openxmlformats.org/spreadsheetml/2006/main">
  <numFmts count="3">
    <numFmt numFmtId="164" formatCode="0&quot;件&quot;"/>
    <numFmt numFmtId="165" formatCode="yyyy-mm-dd"/>
    <numFmt numFmtId="166" formatCode="yyyy/mm/dd"/>
  </numFmts>
  <fonts count="15">
    <font>
      <name val="Calibri"/>
      <family val="2"/>
      <color theme="1"/>
      <sz val="11"/>
      <scheme val="minor"/>
    </font>
    <font>
      <name val="游ゴシック"/>
      <b val="1"/>
      <color rgb="00FFFFFF"/>
      <sz val="11"/>
    </font>
    <font>
      <name val="游ゴシック"/>
      <color rgb="00000000"/>
      <sz val="11"/>
    </font>
    <font>
      <name val="游ゴシック"/>
      <b val="1"/>
      <color rgb="001F4E79"/>
      <sz val="18"/>
    </font>
    <font>
      <name val="游ゴシック"/>
      <b val="1"/>
      <color rgb="00555555"/>
      <sz val="12"/>
    </font>
    <font>
      <name val="游ゴシック"/>
      <b val="1"/>
      <color rgb="00FFFFFF"/>
      <sz val="12"/>
    </font>
    <font>
      <name val="游ゴシック"/>
      <b val="1"/>
      <color rgb="001F3864"/>
      <sz val="11"/>
    </font>
    <font>
      <name val="游ゴシック"/>
      <b val="1"/>
      <color rgb="00000000"/>
      <sz val="11"/>
    </font>
    <font>
      <name val="游ゴシック"/>
      <b val="1"/>
      <color rgb="001F4E79"/>
      <sz val="16"/>
    </font>
    <font>
      <name val="游ゴシック"/>
      <b val="1"/>
      <color rgb="00C00000"/>
      <sz val="11"/>
    </font>
    <font>
      <name val="游ゴシック"/>
      <b val="1"/>
      <color rgb="001F4E79"/>
      <sz val="11"/>
    </font>
    <font>
      <name val="游ゴシック"/>
      <b val="1"/>
      <color rgb="00000000"/>
      <sz val="14"/>
    </font>
    <font>
      <name val="游ゴシック"/>
      <b val="1"/>
      <i val="1"/>
      <color rgb="002E75B6"/>
      <sz val="11"/>
    </font>
    <font>
      <name val="游ゴシック"/>
      <i val="1"/>
      <color rgb="00000000"/>
      <sz val="11"/>
    </font>
    <font>
      <name val="游ゴシック"/>
      <color rgb="00555555"/>
      <sz val="11"/>
    </font>
  </fonts>
  <fills count="20">
    <fill>
      <patternFill/>
    </fill>
    <fill>
      <patternFill patternType="gray125"/>
    </fill>
    <fill>
      <patternFill patternType="solid">
        <fgColor rgb="00808080"/>
      </patternFill>
    </fill>
    <fill>
      <patternFill patternType="solid">
        <fgColor rgb="001F4E79"/>
      </patternFill>
    </fill>
    <fill>
      <patternFill patternType="solid">
        <fgColor rgb="00FFF2CC"/>
      </patternFill>
    </fill>
    <fill>
      <patternFill patternType="solid">
        <fgColor rgb="00E7E6E6"/>
      </patternFill>
    </fill>
    <fill>
      <patternFill patternType="solid">
        <fgColor rgb="00D9D9D9"/>
      </patternFill>
    </fill>
    <fill>
      <patternFill patternType="solid">
        <fgColor rgb="00FCE4E4"/>
      </patternFill>
    </fill>
    <fill>
      <patternFill patternType="solid">
        <fgColor rgb="00FCE4D6"/>
      </patternFill>
    </fill>
    <fill>
      <patternFill patternType="darkUp">
        <fgColor rgb="00808080"/>
        <bgColor rgb="00595959"/>
      </patternFill>
    </fill>
    <fill>
      <patternFill patternType="solid">
        <fgColor rgb="00E2EFDA"/>
      </patternFill>
    </fill>
    <fill>
      <patternFill patternType="solid">
        <fgColor rgb="00EAF3FB"/>
      </patternFill>
    </fill>
    <fill>
      <patternFill patternType="solid">
        <fgColor rgb="00EAF1FB"/>
      </patternFill>
    </fill>
    <fill>
      <patternFill patternType="solid">
        <fgColor rgb="00FFFFFF"/>
      </patternFill>
    </fill>
    <fill>
      <patternFill patternType="solid">
        <fgColor rgb="00D9E1F2"/>
      </patternFill>
    </fill>
    <fill>
      <patternFill patternType="solid">
        <fgColor rgb="00DDEBF7"/>
      </patternFill>
    </fill>
    <fill>
      <patternFill patternType="solid">
        <fgColor rgb="00E2F0D9"/>
      </patternFill>
    </fill>
    <fill>
      <patternFill patternType="solid">
        <fgColor rgb="00EDEDED"/>
      </patternFill>
    </fill>
    <fill>
      <patternFill patternType="solid">
        <fgColor rgb="00BDD7EE"/>
      </patternFill>
    </fill>
    <fill>
      <patternFill patternType="solid">
        <fgColor rgb="00FFF8E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left" vertical="center" wrapText="1"/>
    </xf>
    <xf numFmtId="0" fontId="6" fillId="0" borderId="0" applyAlignment="1" pivotButton="0" quotePrefix="0" xfId="0">
      <alignment horizontal="left" vertical="top" wrapText="1"/>
    </xf>
    <xf numFmtId="0" fontId="2" fillId="0" borderId="0" applyAlignment="1" pivotButton="0" quotePrefix="0" xfId="0">
      <alignment horizontal="left" vertical="top"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11" borderId="1" applyAlignment="1" pivotButton="0" quotePrefix="0" xfId="0">
      <alignment horizontal="center" vertical="center" wrapText="1"/>
    </xf>
    <xf numFmtId="0" fontId="8" fillId="0" borderId="0" pivotButton="0" quotePrefix="0" xfId="0"/>
    <xf numFmtId="0" fontId="14" fillId="19" borderId="0" applyAlignment="1" pivotButton="0" quotePrefix="0" xfId="0">
      <alignment horizontal="left" vertical="top" wrapText="1"/>
    </xf>
    <xf numFmtId="0" fontId="6" fillId="4" borderId="1" applyAlignment="1" pivotButton="0" quotePrefix="0" xfId="0">
      <alignment horizontal="left" vertical="center" wrapText="1"/>
    </xf>
    <xf numFmtId="0" fontId="2" fillId="0" borderId="1" applyAlignment="1" applyProtection="1" pivotButton="0" quotePrefix="0" xfId="0">
      <alignment horizontal="center" vertical="center" wrapText="1"/>
      <protection locked="0" hidden="0"/>
    </xf>
    <xf numFmtId="0" fontId="14" fillId="0" borderId="1" applyAlignment="1" pivotButton="0" quotePrefix="0" xfId="0">
      <alignment horizontal="left" vertical="top" wrapText="1"/>
    </xf>
    <xf numFmtId="166" fontId="2" fillId="0" borderId="1" applyAlignment="1" applyProtection="1" pivotButton="0" quotePrefix="0" xfId="0">
      <alignment horizontal="center" vertical="center" wrapText="1"/>
      <protection locked="0" hidden="0"/>
    </xf>
    <xf numFmtId="0" fontId="6" fillId="6" borderId="1" applyAlignment="1" pivotButton="0" quotePrefix="0" xfId="0">
      <alignment horizontal="left" vertical="center" wrapText="1"/>
    </xf>
    <xf numFmtId="164" fontId="2" fillId="6"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14" fillId="0" borderId="0" applyAlignment="1" pivotButton="0" quotePrefix="0" xfId="0">
      <alignment horizontal="left" vertical="top" wrapText="1"/>
    </xf>
    <xf numFmtId="0" fontId="9" fillId="0" borderId="0" applyAlignment="1" pivotButton="0" quotePrefix="0" xfId="0">
      <alignment horizontal="left" vertical="center" wrapText="1"/>
    </xf>
    <xf numFmtId="0" fontId="0" fillId="12" borderId="0" pivotButton="0" quotePrefix="0" xfId="0"/>
    <xf numFmtId="0" fontId="10" fillId="12" borderId="0" applyAlignment="1" pivotButton="0" quotePrefix="0" xfId="0">
      <alignment horizontal="center" vertical="center" wrapText="1"/>
    </xf>
    <xf numFmtId="164" fontId="11" fillId="13" borderId="1" applyAlignment="1" pivotButton="0" quotePrefix="0" xfId="0">
      <alignment horizontal="center" vertical="center" wrapText="1"/>
    </xf>
    <xf numFmtId="9" fontId="11" fillId="13" borderId="1" applyAlignment="1" pivotButton="0" quotePrefix="0" xfId="0">
      <alignment horizontal="center" vertical="center" wrapText="1"/>
    </xf>
    <xf numFmtId="0" fontId="7" fillId="12" borderId="0"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7" fillId="18"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166" fontId="13" fillId="11" borderId="1" applyAlignment="1" pivotButton="0" quotePrefix="0" xfId="0">
      <alignment horizontal="center" vertical="center" wrapText="1"/>
    </xf>
    <xf numFmtId="49" fontId="13" fillId="11" borderId="1" applyAlignment="1" pivotButton="0" quotePrefix="0" xfId="0">
      <alignment horizontal="center" vertical="center" wrapText="1"/>
    </xf>
    <xf numFmtId="3" fontId="13" fillId="11" borderId="1" applyAlignment="1" pivotButton="0" quotePrefix="0" xfId="0">
      <alignment horizontal="center" vertical="center" wrapText="1"/>
    </xf>
    <xf numFmtId="49" fontId="2" fillId="0" borderId="1" applyAlignment="1" applyProtection="1" pivotButton="0" quotePrefix="0" xfId="0">
      <alignment horizontal="center" vertical="center" wrapText="1"/>
      <protection locked="0" hidden="0"/>
    </xf>
    <xf numFmtId="3" fontId="2" fillId="0" borderId="1" applyAlignment="1" applyProtection="1" pivotButton="0" quotePrefix="0" xfId="0">
      <alignment horizontal="center" vertical="center" wrapText="1"/>
      <protection locked="0" hidden="0"/>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dxfs count="4">
    <dxf>
      <fill>
        <patternFill patternType="solid">
          <fgColor rgb="00E2EFDA"/>
          <bgColor rgb="00E2EFDA"/>
        </patternFill>
      </fill>
    </dxf>
    <dxf>
      <fill>
        <patternFill patternType="solid">
          <fgColor rgb="00FCE4D6"/>
          <bgColor rgb="00FCE4D6"/>
        </patternFill>
      </fill>
    </dxf>
    <dxf>
      <fill>
        <patternFill patternType="solid">
          <fgColor rgb="00FCE4E4"/>
          <bgColor rgb="00FCE4E4"/>
        </patternFill>
      </fill>
    </dxf>
    <dxf>
      <fill>
        <patternFill patternType="darkUp">
          <fgColor rgb="00808080"/>
          <bgColor rgb="0059595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社労士フォーム</author>
  </authors>
  <commentList>
    <comment ref="A7" authorId="0" shapeId="0">
      <text>
        <t>用途：労災請求書の被災労働者の氏名。</t>
      </text>
    </comment>
    <comment ref="B7" authorId="0" shapeId="0">
      <text>
        <t>用途：届出のフリガナ欄（全角カタカナ）。</t>
      </text>
    </comment>
    <comment ref="C7" authorId="0" shapeId="0">
      <text>
        <t>用途：被保険者の生年月日（各届出の本人確認）。</t>
      </text>
    </comment>
    <comment ref="D7" authorId="0" shapeId="0">
      <text>
        <t>用途：各届出のマイナンバー欄。</t>
      </text>
    </comment>
    <comment ref="E7" authorId="0" shapeId="0">
      <text>
        <t>用途：厚生年金の基礎年金番号欄。</t>
      </text>
    </comment>
    <comment ref="F7" authorId="0" shapeId="0">
      <text>
        <t>用途：雇用保険の被保険者番号欄。</t>
      </text>
    </comment>
    <comment ref="G7" authorId="0" shapeId="0">
      <text>
        <t>用途：本人住所（請求書の住所欄）。</t>
      </text>
    </comment>
    <comment ref="H7" authorId="0" shapeId="0">
      <text>
        <t>用途：本人住所の都道府県。</t>
      </text>
    </comment>
    <comment ref="I7" authorId="0" shapeId="0">
      <text>
        <t>用途：本人住所の市区町村以下。</t>
      </text>
    </comment>
    <comment ref="J7" authorId="0" shapeId="0">
      <text>
        <t>用途：本人住所の建物・部屋。</t>
      </text>
    </comment>
    <comment ref="K7" authorId="0" shapeId="0">
      <text>
        <t>用途：本人連絡先。確認の連絡用。</t>
      </text>
    </comment>
    <comment ref="L7" authorId="0" shapeId="0">
      <text>
        <t>用途：労災請求書の『労働者の職種』欄。</t>
      </text>
    </comment>
    <comment ref="M7" authorId="0" shapeId="0">
      <text>
        <t>用途：業務災害／通勤災害の別（請求様式・認定の前提）。</t>
      </text>
    </comment>
    <comment ref="N7" authorId="0" shapeId="0">
      <text>
        <t>用途：提出する労災様式（療養 5/7/16の3・休業 8/16の6）。</t>
      </text>
    </comment>
    <comment ref="O7" authorId="0" shapeId="0">
      <text>
        <t>用途：災害発生年月日（請求書の発生日）。</t>
      </text>
    </comment>
    <comment ref="P7" authorId="0" shapeId="0">
      <text>
        <t>用途：発生時刻（発生状況の特定）。</t>
      </text>
    </comment>
    <comment ref="Q7" authorId="0" shapeId="0">
      <text>
        <t>用途：発生場所（業務遂行性・通勤経路の確認）。</t>
      </text>
    </comment>
    <comment ref="R7" authorId="0" shapeId="0">
      <text>
        <t>用途：様式の『災害の原因及び発生状況』への転記用。</t>
      </text>
    </comment>
    <comment ref="S7" authorId="0" shapeId="0">
      <text>
        <t>用途：請求書の事業主証明欄『災害発生の事実を確認した者』の職名。</t>
      </text>
    </comment>
    <comment ref="T7" authorId="0" shapeId="0">
      <text>
        <t>用途：同 氏名。</t>
      </text>
    </comment>
    <comment ref="U7" authorId="0" shapeId="0">
      <text>
        <t>用途：傷病の部位（療養の範囲）。</t>
      </text>
    </comment>
    <comment ref="V7" authorId="0" shapeId="0">
      <text>
        <t>用途：傷病名（療養給付の対象）。</t>
      </text>
    </comment>
    <comment ref="W7" authorId="0" shapeId="0">
      <text>
        <t>用途：療養開始日（給付の起算）。</t>
      </text>
    </comment>
    <comment ref="X7" authorId="0" shapeId="0">
      <text>
        <t>用途：労災指定医療機関か（5号／16号の3の振り分け）。</t>
      </text>
    </comment>
    <comment ref="Y7" authorId="0" shapeId="0">
      <text>
        <t>用途：休業補償給付の対象期間（開始）。</t>
      </text>
    </comment>
    <comment ref="Z7" authorId="0" shapeId="0">
      <text>
        <t>用途：同 終了。</t>
      </text>
    </comment>
    <comment ref="AA7" authorId="0" shapeId="0">
      <text>
        <t>用途：給付基礎日額（平均賃金）算定の参考（正確には賃金台帳）。</t>
      </text>
    </comment>
    <comment ref="AB7" authorId="0" shapeId="0">
      <text>
        <t>用途：平均賃金算定のための賃金台帳・出勤簿の添付確認。</t>
      </text>
    </comment>
    <comment ref="AC7" authorId="0" shapeId="0">
      <text>
        <t>用途：休業（補償）給付の振込先（本人名義）。</t>
      </text>
    </comment>
    <comment ref="AD7" authorId="0" shapeId="0">
      <text>
        <t>用途：複数事業労働者かどうかの確認（給付基礎日額の算定）。</t>
      </text>
    </comment>
    <comment ref="AE7" authorId="0" shapeId="0">
      <text>
        <t>用途：同 他社の事業場・労働保険番号。</t>
      </text>
    </comment>
    <comment ref="AF7" authorId="0" shapeId="0">
      <text>
        <t>用途：通勤災害の認定（合理的な経路・方法）の確認。</t>
      </text>
    </comment>
    <comment ref="AG7" authorId="0" shapeId="0">
      <text>
        <t>用途：第三者行為の有無（別途届出が必要）。</t>
      </text>
    </comment>
    <comment ref="AH7" authorId="0" shapeId="0">
      <text>
        <t>用途：連絡事項。自由記入。</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44"/>
  <sheetViews>
    <sheetView showGridLines="0" workbookViewId="0">
      <selection activeCell="A1" sqref="A1"/>
    </sheetView>
  </sheetViews>
  <sheetFormatPr baseColWidth="8" defaultRowHeight="15"/>
  <cols>
    <col width="3" customWidth="1" min="1" max="1"/>
    <col width="24" customWidth="1" min="2" max="2"/>
    <col width="95" customWidth="1" min="3" max="3"/>
  </cols>
  <sheetData>
    <row r="1">
      <c r="B1" s="1" t="inlineStr">
        <is>
          <t>労災（療養・休業）受領フォーム</t>
        </is>
      </c>
    </row>
    <row r="2">
      <c r="B2" s="2" t="inlineStr">
        <is>
          <t>はじめにお読みください（記入要領）</t>
        </is>
      </c>
    </row>
    <row r="3"/>
    <row r="4" ht="24" customHeight="1">
      <c r="B4" s="3" t="inlineStr">
        <is>
          <t>この書類について</t>
        </is>
      </c>
    </row>
    <row r="5" ht="20.5" customHeight="1">
      <c r="B5" s="4" t="inlineStr">
        <is>
          <t>事務所名</t>
        </is>
      </c>
      <c r="C5" s="5" t="inlineStr">
        <is>
          <t>みなの社会保険労務士事務所</t>
        </is>
      </c>
    </row>
    <row r="6" ht="20.5" customHeight="1">
      <c r="B6" s="4" t="inlineStr">
        <is>
          <t>お問い合わせ</t>
        </is>
      </c>
      <c r="C6" s="5" t="inlineStr">
        <is>
          <t>076-460-2562 / contact@minano-sr.com</t>
        </is>
      </c>
    </row>
    <row r="7" ht="20.5" customHeight="1">
      <c r="B7" s="4" t="inlineStr">
        <is>
          <t>バージョン</t>
        </is>
      </c>
      <c r="C7" s="5" t="inlineStr">
        <is>
          <t>1.0（更新日 2026-09-11）</t>
        </is>
      </c>
    </row>
    <row r="8"/>
    <row r="9" ht="24" customHeight="1">
      <c r="B9" s="3" t="inlineStr">
        <is>
          <t>目的</t>
        </is>
      </c>
    </row>
    <row r="10" ht="53.5" customHeight="1">
      <c r="C10" s="5" t="inlineStr">
        <is>
          <t>労働災害（業務災害・通勤災害）の『療養（補償）給付』『休業（補償）給付』の請求に
必要な情報を回収します。このフォーム1本で手続きに着手できるよう、
本人情報（氏名・生年月日・マイナンバー・各種番号・住所）もあわせてご記入ください。</t>
        </is>
      </c>
    </row>
    <row r="11"/>
    <row r="12" ht="24" customHeight="1">
      <c r="B12" s="3" t="inlineStr">
        <is>
          <t>入力の流れ</t>
        </is>
      </c>
    </row>
    <row r="13" ht="37" customHeight="1">
      <c r="C13" s="5" t="inlineStr">
        <is>
          <t>1. 『本人情報』に対象者の氏名・生年月日・番号類・住所を入力します（入社時と同じ内容）。本人しか分からない項目は、会社内で本人に確認のうえご記入ください。</t>
        </is>
      </c>
    </row>
    <row r="14" ht="20.5" customHeight="1">
      <c r="C14" s="5" t="inlineStr">
        <is>
          <t>2. 災害区分・請求様式を選び、発生状況・傷病・休業期間を具体的に入力します。</t>
        </is>
      </c>
    </row>
    <row r="15" ht="37" customHeight="1">
      <c r="C15" s="5" t="inlineStr">
        <is>
          <t>3. 休業（補償）給付を請求する場合は、災害発生日以前3か月の賃金台帳・出勤簿をご用意ください。</t>
        </is>
      </c>
    </row>
    <row r="16"/>
    <row r="17" ht="24" customHeight="1">
      <c r="B17" s="3" t="inlineStr">
        <is>
          <t>色の凡例</t>
        </is>
      </c>
    </row>
    <row r="18" ht="20.5" customHeight="1">
      <c r="B18" s="6" t="inlineStr">
        <is>
          <t>必須</t>
        </is>
      </c>
      <c r="C18" s="5" t="inlineStr">
        <is>
          <t>ヘッダーが薄い黄色。必ず入力してください。</t>
        </is>
      </c>
    </row>
    <row r="19" ht="20.5" customHeight="1">
      <c r="B19" s="7" t="inlineStr">
        <is>
          <t>任意</t>
        </is>
      </c>
      <c r="C19" s="5" t="inlineStr">
        <is>
          <t>ヘッダーが薄い灰色。該当する場合に入力。</t>
        </is>
      </c>
    </row>
    <row r="20" ht="20.5" customHeight="1">
      <c r="B20" s="8" t="inlineStr">
        <is>
          <t>自動</t>
        </is>
      </c>
      <c r="C20" s="5" t="inlineStr">
        <is>
          <t>灰色。自動で計算されます（上書きしないでください）。</t>
        </is>
      </c>
    </row>
    <row r="21" ht="20.5" customHeight="1">
      <c r="B21" s="9" t="inlineStr">
        <is>
          <t>未入力警告</t>
        </is>
      </c>
      <c r="C21" s="5" t="inlineStr">
        <is>
          <t>必須の空欄が薄い赤で点灯。入力で消えます。</t>
        </is>
      </c>
    </row>
    <row r="22" ht="20.5" customHeight="1">
      <c r="B22" s="10" t="inlineStr">
        <is>
          <t>形式警告</t>
        </is>
      </c>
      <c r="C22" s="5" t="inlineStr">
        <is>
          <t>桁数・形式が想定と違うと薄い橙で点灯。</t>
        </is>
      </c>
    </row>
    <row r="23" ht="20.5" customHeight="1">
      <c r="B23" s="11" t="inlineStr">
        <is>
          <t>対象外</t>
        </is>
      </c>
      <c r="C23" s="5" t="inlineStr">
        <is>
          <t>暗い灰の斜線（ハッチ）。その条件では記入不要な欄。</t>
        </is>
      </c>
    </row>
    <row r="24" ht="20.5" customHeight="1">
      <c r="B24" s="12" t="inlineStr">
        <is>
          <t>問題なし</t>
        </is>
      </c>
      <c r="C24" s="5" t="inlineStr">
        <is>
          <t>薄い緑。入力・判定が正常なことを示します。</t>
        </is>
      </c>
    </row>
    <row r="25" ht="37" customHeight="1">
      <c r="B25" s="13" t="inlineStr">
        <is>
          <t>見出しの印</t>
        </is>
      </c>
      <c r="C25" s="5" t="inlineStr">
        <is>
          <t>【必】必ず記入／【任】該当すれば記入／【条件により必須】選んだ区分によって必要になる欄（必要なときだけ薄赤に点灯し、不要なときは斜線になります）／【自動】自動計算。</t>
        </is>
      </c>
    </row>
    <row r="26" ht="37" customHeight="1">
      <c r="B26" s="14" t="inlineStr">
        <is>
          <t>記入例</t>
        </is>
      </c>
      <c r="C26" s="5" t="inlineStr">
        <is>
          <t>水色・斜体の1行は記入例です。その下の行からご記入ください（記入例の行は消していただいても構いません）。</t>
        </is>
      </c>
    </row>
    <row r="27"/>
    <row r="28" ht="24" customHeight="1">
      <c r="B28" s="3" t="inlineStr">
        <is>
          <t>ご注意</t>
        </is>
      </c>
    </row>
    <row r="29" ht="37" customHeight="1">
      <c r="C29" s="5" t="inlineStr">
        <is>
          <t>水色・斜体の8行目は記入例です。9行目からご記入ください（記入例は消していただいても構いません）。</t>
        </is>
      </c>
    </row>
    <row r="30" ht="20.5" customHeight="1">
      <c r="C30" s="5" t="inlineStr">
        <is>
          <t>災害発生状況は、請求書の証明欄にそのまま転記できるよう具体的にご記入ください。</t>
        </is>
      </c>
    </row>
    <row r="31" ht="53.5" customHeight="1">
      <c r="C31" s="5" t="inlineStr">
        <is>
          <t>休業が4日以上になるときは、労災の請求とは別に『労働者死傷病報告』を労働基準監督署へ提出する義務があります〔様式・提出方法は要確認〕。当事務所の受任範囲に含めるかは別途ご相談ください。</t>
        </is>
      </c>
    </row>
    <row r="32" ht="20.5" customHeight="1">
      <c r="C32" s="5" t="inlineStr">
        <is>
          <t>通勤災害の場合は通勤経路もご記入ください。第三者行為災害は別途届出が必要です。</t>
        </is>
      </c>
    </row>
    <row r="33" ht="37" customHeight="1">
      <c r="C33" s="5" t="inlineStr">
        <is>
          <t>時効の目安：療養（補償）給付・休業（補償）給付ともに原則2年です（費用が生じた日・休業日ごと）。</t>
        </is>
      </c>
    </row>
    <row r="34"/>
    <row r="35" ht="24" customHeight="1">
      <c r="B35" s="3" t="inlineStr">
        <is>
          <t>本人情報の集め方</t>
        </is>
      </c>
    </row>
    <row r="36" ht="70" customHeight="1">
      <c r="B36" s="4" t="inlineStr">
        <is>
          <t>基本</t>
        </is>
      </c>
      <c r="C36" s="5" t="inlineStr">
        <is>
          <t>本人情報は入社時と同じ内容をご記入ください。本人しか分からない項目（マイナンバー・基礎年金番号・雇用保険被保険者番号など）は、会社内で本人に確認のうえご記入ください。
当事務所の書式「入社時 本人情報記入シート」（https://minano-sr.com/shoshiki/D-52.html）を印刷して本人に書いてもらう方法が簡単です。</t>
        </is>
      </c>
    </row>
    <row r="37" ht="20.5" customHeight="1">
      <c r="B37" s="4" t="inlineStr">
        <is>
          <t>2名以上のとき</t>
        </is>
      </c>
      <c r="C37" s="5" t="inlineStr">
        <is>
          <t>1行に1名ずつご記入ください（行を追加して複数名をまとめて送れます）。</t>
        </is>
      </c>
    </row>
    <row r="38"/>
    <row r="39" ht="24" customHeight="1">
      <c r="B39" s="3" t="inlineStr">
        <is>
          <t>マイナンバー等 機微情報の取扱い</t>
        </is>
      </c>
    </row>
    <row r="40" ht="53.5" customHeight="1">
      <c r="B40" s="4" t="inlineStr">
        <is>
          <t>入力時</t>
        </is>
      </c>
      <c r="C40" s="5" t="inlineStr">
        <is>
          <t>マイナンバー（12桁）は半角数字・ハイフン無しで入力します。会社所定の安全な経路で別提出する場合は、番号を入力せず『別経路提出』を選んでください。未回収の場合は『後日提出』を選択します。</t>
        </is>
      </c>
    </row>
    <row r="41" ht="37" customHeight="1">
      <c r="B41" s="4" t="inlineStr">
        <is>
          <t>基礎年金番号</t>
        </is>
      </c>
      <c r="C41" s="5" t="inlineStr">
        <is>
          <t>10桁（年金手帳・基礎年金番号通知書に記載）。不明なときはドロップダウンから『後日提出』を選べば未入力扱いになりません（分かり次第ご連絡ください）。</t>
        </is>
      </c>
    </row>
    <row r="42" ht="37" customHeight="1">
      <c r="B42" s="4" t="inlineStr">
        <is>
          <t>雇用保険被保険者番号</t>
        </is>
      </c>
      <c r="C42" s="5" t="inlineStr">
        <is>
          <t>11桁（雇用保険被保険者証・離職票に記載）。前職が無い方は『なし』、番号が不明なときは『後日提出』を選択してください。</t>
        </is>
      </c>
    </row>
    <row r="43" ht="53.5" customHeight="1">
      <c r="B43" s="4" t="inlineStr">
        <is>
          <t>返送方法</t>
        </is>
      </c>
      <c r="C43" s="5" t="inlineStr">
        <is>
          <t>受任メールのリンクから案件ページを開き、記入したこのファイルをそのままお送りください。ZIPにする必要はありません。この経路は暗号化されており、メール添付より安全です。メールに直接添付して送るのは避けてください（マイナンバー等の特定個人情報を含みます）。</t>
        </is>
      </c>
    </row>
    <row r="44" ht="37" customHeight="1">
      <c r="B44" s="4" t="inlineStr">
        <is>
          <t>社内保管</t>
        </is>
      </c>
      <c r="C44" s="5" t="inlineStr">
        <is>
          <t>記入途中のファイルは関係者以外がアクセスできない場所に保管し、提出後は社内ルールに従って適切に削除・保管してください。</t>
        </is>
      </c>
    </row>
  </sheetData>
  <mergeCells count="8">
    <mergeCell ref="B39:C39"/>
    <mergeCell ref="B28:C28"/>
    <mergeCell ref="B17:C17"/>
    <mergeCell ref="B9:C9"/>
    <mergeCell ref="B1:C1"/>
    <mergeCell ref="B35:C35"/>
    <mergeCell ref="B4:C4"/>
    <mergeCell ref="B12:C12"/>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D25"/>
  <sheetViews>
    <sheetView showGridLines="0" workbookViewId="0">
      <pane ySplit="1" topLeftCell="A2" activePane="bottomLeft" state="frozen"/>
      <selection pane="bottomLeft" activeCell="A1" sqref="A1"/>
    </sheetView>
  </sheetViews>
  <sheetFormatPr baseColWidth="8" defaultRowHeight="15"/>
  <cols>
    <col width="3" customWidth="1" min="1" max="1"/>
    <col width="30" customWidth="1" min="2" max="2"/>
    <col width="26" customWidth="1" min="3" max="3"/>
    <col width="60" customWidth="1" min="4" max="4"/>
  </cols>
  <sheetData>
    <row r="1">
      <c r="B1" s="15" t="inlineStr">
        <is>
          <t>労災（療養・休業）受領フォーム　提出チェック・添付・返送</t>
        </is>
      </c>
    </row>
    <row r="2" ht="37" customHeight="1">
      <c r="B2" s="16" t="inlineStr">
        <is>
          <t>このシートは貴社（ご担当者さま）が、入力 → 提出前の確認 → 当事務所への返送まで迷わず進めるための案内です。本体シートをご記入のうえ、最後にここをご確認ください。</t>
        </is>
      </c>
    </row>
    <row r="3"/>
    <row r="4" ht="24" customHeight="1">
      <c r="B4" s="3" t="inlineStr">
        <is>
          <t>① 提出前チェック</t>
        </is>
      </c>
    </row>
    <row r="5" ht="26" customHeight="1">
      <c r="B5" s="17" t="inlineStr">
        <is>
          <t>貴社名</t>
        </is>
      </c>
      <c r="C5" s="18" t="n"/>
      <c r="D5" s="19" t="inlineStr">
        <is>
          <t>貴社名をご記入ください。</t>
        </is>
      </c>
    </row>
    <row r="6" ht="26" customHeight="1">
      <c r="B6" s="17" t="inlineStr">
        <is>
          <t>ご入力担当者名</t>
        </is>
      </c>
      <c r="C6" s="18" t="n"/>
      <c r="D6" s="19" t="inlineStr">
        <is>
          <t>このフォームをご記入された方のお名前。</t>
        </is>
      </c>
    </row>
    <row r="7" ht="26" customHeight="1">
      <c r="B7" s="17" t="inlineStr">
        <is>
          <t>ご担当者 連絡先</t>
        </is>
      </c>
      <c r="C7" s="18" t="n"/>
      <c r="D7" s="19" t="inlineStr">
        <is>
          <t>電話番号またはメールアドレス。確認時の連絡用。</t>
        </is>
      </c>
    </row>
    <row r="8" ht="26" customHeight="1">
      <c r="B8" s="17" t="inlineStr">
        <is>
          <t>記入日</t>
        </is>
      </c>
      <c r="C8" s="20" t="n"/>
      <c r="D8" s="19" t="inlineStr">
        <is>
          <t>ご記入（最終確認）日。</t>
        </is>
      </c>
    </row>
    <row r="9" ht="37" customHeight="1">
      <c r="B9" s="17" t="inlineStr">
        <is>
          <t>労働保険番号（14桁）</t>
        </is>
      </c>
      <c r="C9" s="18" t="n"/>
      <c r="D9" s="19" t="inlineStr">
        <is>
          <t>労働保険 概算・確定保険料申告書、または労働保険料の納入通知書に載っています。</t>
        </is>
      </c>
    </row>
    <row r="10" ht="37" customHeight="1">
      <c r="B10" s="17" t="inlineStr">
        <is>
          <t>事業場が複数ある場合、どの事業場か</t>
        </is>
      </c>
      <c r="C10" s="18" t="n"/>
      <c r="D10" s="19" t="inlineStr">
        <is>
          <t>被災した方が所属する事業場の名称。労働保険番号が事業場ごとに分かれている場合にご記入ください。</t>
        </is>
      </c>
    </row>
    <row r="11" ht="26" customHeight="1">
      <c r="B11" s="21" t="inlineStr">
        <is>
          <t>対象者数（自動）</t>
        </is>
      </c>
      <c r="C11" s="22">
        <f>'労災 情報'!A4</f>
        <v/>
      </c>
      <c r="D11" s="19" t="inlineStr">
        <is>
          <t>本体シートに入力された件数を自動表示します。</t>
        </is>
      </c>
    </row>
    <row r="12" ht="37" customHeight="1">
      <c r="B12" s="21" t="inlineStr">
        <is>
          <t>必須の未入力 残（自動）</t>
        </is>
      </c>
      <c r="C12" s="22">
        <f>'労災 情報'!E4</f>
        <v/>
      </c>
      <c r="D12" s="19" t="inlineStr">
        <is>
          <t>未入力の必須項目の残数。0件になるまでご記入ください（本体の薄赤・行ステータス参照）。</t>
        </is>
      </c>
    </row>
    <row r="13" ht="26" customHeight="1">
      <c r="B13" s="21" t="inlineStr">
        <is>
          <t>完了率（自動）</t>
        </is>
      </c>
      <c r="C13" s="23">
        <f>'労災 情報'!G4</f>
        <v/>
      </c>
      <c r="D13" s="19" t="inlineStr">
        <is>
          <t>必須項目の充足率。</t>
        </is>
      </c>
    </row>
    <row r="14" ht="37" customHeight="1">
      <c r="B14" s="21" t="inlineStr">
        <is>
          <t>提出可否（自動）</t>
        </is>
      </c>
      <c r="C14" s="24">
        <f>IF('労災 情報'!A4=0,"未入力（対象者なし）",IF(AND('労災 情報'!E4=0,'労災 情報'!C4&lt;&gt;'労災 情報'!A4),"確認が必要：式の入っていない行があります（行を挿入せず9〜58行にご記入ください）",IF('労災 情報'!E4=0,"提出可（必須の未入力なし）","未入力あり：本体シートの薄赤セル・行ステータスをご確認ください")))</f>
        <v/>
      </c>
      <c r="D14" s="19" t="inlineStr">
        <is>
          <t>必須の未入力が無ければ『提出可』。残っていれば本体をご確認ください。</t>
        </is>
      </c>
    </row>
    <row r="15" ht="26" customHeight="1">
      <c r="B15" s="17" t="inlineStr">
        <is>
          <t>事務所への連絡事項</t>
        </is>
      </c>
      <c r="C15" s="18" t="n"/>
      <c r="D15" s="19" t="inlineStr">
        <is>
          <t>不明点・特記事項があればご記入ください（任意）。</t>
        </is>
      </c>
    </row>
    <row r="16"/>
    <row r="17" ht="24" customHeight="1">
      <c r="B17" s="3" t="inlineStr">
        <is>
          <t>② 一緒に送っていただく書類</t>
        </is>
      </c>
    </row>
    <row r="18" ht="53.5" customHeight="1">
      <c r="B18" s="16" t="inlineStr">
        <is>
          <t>書類の一覧と、いま何が届いているかは案件ページが正です。このシートには書類の状態を書かないでください（二重管理になります）。
案件ページは受任メールのリンクから開けます。届いた書類はその場で受領済みに変わります。</t>
        </is>
      </c>
    </row>
    <row r="19" ht="136" customHeight="1">
      <c r="B19" s="25" t="inlineStr">
        <is>
          <t>この手続きで必要になるもの：
　・災害発生状況のメモ・図（いつ・どこで・どうなったか）
　・受診した医療機関の情報（名称・所在地）
　・通勤経路のわかる資料（通勤災害の場合）
　・賃金台帳（災害発生日以前3か月分）
　・出勤簿（災害発生日以前3か月分）
　・第三者行為災害届（第三者行為の場合）
　・労働者死傷病報告の控え（休業4日以上のとき）</t>
        </is>
      </c>
    </row>
    <row r="20"/>
    <row r="21" ht="24" customHeight="1">
      <c r="B21" s="3" t="inlineStr">
        <is>
          <t>③ 当事務所への返送について</t>
        </is>
      </c>
    </row>
    <row r="22" ht="86.5" customHeight="1">
      <c r="B22" s="16" t="inlineStr">
        <is>
          <t>記入したこのファイルを、案件ページからそのままお送りください。ZIPにする必要はありません。ファイル名も変えなくて構いません。
送り先は受任メールに載せた案件ページのリンクです。そのページの「受領フォーム」の欄から、このファイルを選ぶだけで届きます。
メールに添付して送るのは避けてください（マイナンバー等を含みます）。</t>
        </is>
      </c>
    </row>
    <row r="23"/>
    <row r="24" ht="24" customHeight="1">
      <c r="B24" s="3" t="inlineStr">
        <is>
          <t>④ 入力の補足（情報が揃わないとき）</t>
        </is>
      </c>
    </row>
    <row r="25" ht="53.5" customHeight="1">
      <c r="B25" s="25" t="inlineStr">
        <is>
          <t>・『不明』『後日提出』を選べる欄は、空欄のままにせず状態を残してください。後で当事務所が確認・督促できます。
・該当しない欄は『該当なし』を選ぶか空欄で構いません（条件次第で対象外＝斜線になる欄もあります）。
・色の意味：薄黄＝必須／薄灰＝任意／薄赤＝必須の未入力／薄橙＝形式の確認／斜線＝記入不要。</t>
        </is>
      </c>
    </row>
  </sheetData>
  <mergeCells count="10">
    <mergeCell ref="B19:D19"/>
    <mergeCell ref="B1:D1"/>
    <mergeCell ref="B22:D22"/>
    <mergeCell ref="B4:D4"/>
    <mergeCell ref="B17:D17"/>
    <mergeCell ref="B18:D18"/>
    <mergeCell ref="B21:D21"/>
    <mergeCell ref="B25:D25"/>
    <mergeCell ref="B24:D24"/>
    <mergeCell ref="B2:D2"/>
  </mergeCells>
  <conditionalFormatting sqref="C14">
    <cfRule type="expression" priority="1" dxfId="0" stopIfTrue="1">
      <formula>ISNUMBER(SEARCH("提出可",C14))</formula>
    </cfRule>
    <cfRule type="expression" priority="2" dxfId="1" stopIfTrue="1">
      <formula>AND(ISNUMBER(SEARCH("未入力",C14)),ISERROR(SEARCH("提出可",C14)))</formula>
    </cfRule>
    <cfRule type="expression" priority="3" dxfId="2" stopIfTrue="1">
      <formula>ISNUMBER(SEARCH("確認が必要",C14))</formula>
    </cfRule>
  </conditionalFormatting>
  <conditionalFormatting sqref="C12">
    <cfRule type="expression" priority="4" dxfId="1" stopIfTrue="1">
      <formula>C12&gt;0</formula>
    </cfRule>
  </conditionalFormatting>
  <dataValidations count="1">
    <dataValidation sqref="C8" showDropDown="0" showInputMessage="1" showErrorMessage="1" allowBlank="1" promptTitle="入力のヒント" prompt="西暦 YYYY/MM/DD。" type="whole" errorStyle="warning" operator="between">
      <formula1>1</formula1>
      <formula2>99999999</formula2>
    </dataValidation>
  </dataValidation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AJ58"/>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5" customWidth="1" min="3" max="3"/>
    <col width="17" customWidth="1" min="4" max="4"/>
    <col width="16" customWidth="1" min="5" max="5"/>
    <col width="20" customWidth="1" min="6" max="6"/>
    <col width="13" customWidth="1" min="7" max="7"/>
    <col width="12" customWidth="1" min="8" max="8"/>
    <col width="24" customWidth="1" min="9" max="9"/>
    <col width="20" customWidth="1" min="10" max="10"/>
    <col width="16" customWidth="1" min="11" max="11"/>
    <col width="20" customWidth="1" min="12" max="12"/>
    <col width="14" customWidth="1" min="13" max="13"/>
    <col width="26" customWidth="1" min="14" max="14"/>
    <col width="17" customWidth="1" min="15" max="15"/>
    <col width="13" customWidth="1" min="16" max="16"/>
    <col width="26" customWidth="1" min="17" max="17"/>
    <col width="42" customWidth="1" min="18" max="18"/>
    <col width="22" customWidth="1" min="19" max="19"/>
    <col width="18" customWidth="1" min="20" max="20"/>
    <col width="18" customWidth="1" min="21" max="21"/>
    <col width="22" customWidth="1" min="22" max="22"/>
    <col width="16" customWidth="1" min="23" max="23"/>
    <col width="16" customWidth="1" min="24" max="24"/>
    <col width="17" customWidth="1" min="25" max="25"/>
    <col width="17" customWidth="1" min="26" max="26"/>
    <col width="20" customWidth="1" min="27" max="27"/>
    <col width="18" customWidth="1" min="28" max="28"/>
    <col width="32" customWidth="1" min="29" max="29"/>
    <col width="22" customWidth="1" min="30" max="30"/>
    <col width="32" customWidth="1" min="31" max="31"/>
    <col width="32" customWidth="1" min="32" max="32"/>
    <col width="14" customWidth="1" min="33" max="33"/>
    <col width="32" customWidth="1" min="34" max="34"/>
    <col width="13" customWidth="1" min="35" max="35"/>
    <col hidden="1" width="13" customWidth="1" min="36" max="36"/>
  </cols>
  <sheetData>
    <row r="1" ht="26" customHeight="1">
      <c r="A1" s="15" t="inlineStr">
        <is>
          <t>労災 情報</t>
        </is>
      </c>
      <c r="R1" s="26" t="inlineStr">
        <is>
          <t>※業務／通勤災害の請求様式は内容に応じて選択。平均賃金は別途算定。</t>
        </is>
      </c>
    </row>
    <row r="2">
      <c r="A2" s="27" t="n"/>
      <c r="B2" s="27" t="n"/>
      <c r="C2" s="27" t="n"/>
      <c r="D2" s="27" t="n"/>
      <c r="E2" s="27" t="n"/>
      <c r="F2" s="27" t="n"/>
      <c r="G2" s="27" t="n"/>
      <c r="H2" s="27" t="n"/>
      <c r="I2" s="27" t="n"/>
      <c r="J2" s="27" t="n"/>
      <c r="K2" s="27" t="n"/>
      <c r="L2" s="27" t="n"/>
      <c r="M2" s="27" t="n"/>
      <c r="N2" s="27" t="n"/>
    </row>
    <row r="3" ht="20.5" customHeight="1">
      <c r="A3" s="28" t="inlineStr">
        <is>
          <t>入力対象 件数</t>
        </is>
      </c>
      <c r="C3" s="28" t="inlineStr">
        <is>
          <t>必須充足 件数</t>
        </is>
      </c>
      <c r="E3" s="28" t="inlineStr">
        <is>
          <t>必須未入力 残</t>
        </is>
      </c>
      <c r="G3" s="28" t="inlineStr">
        <is>
          <t>完了率</t>
        </is>
      </c>
      <c r="I3" s="27" t="n"/>
      <c r="J3" s="27" t="n"/>
      <c r="K3" s="27" t="n"/>
      <c r="L3" s="27" t="n"/>
      <c r="M3" s="27" t="n"/>
      <c r="N3" s="27" t="n"/>
    </row>
    <row r="4">
      <c r="A4" s="29">
        <f>COUNTA(A9:A58)</f>
        <v/>
      </c>
      <c r="C4" s="29">
        <f>COUNTIF(AJ9:AJ58,0)</f>
        <v/>
      </c>
      <c r="E4" s="29">
        <f>SUM(AJ9:AJ58)</f>
        <v/>
      </c>
      <c r="G4" s="30">
        <f>IF(A4=0,0,C4/A4)</f>
        <v/>
      </c>
      <c r="I4" s="27" t="n"/>
      <c r="J4" s="27" t="n"/>
      <c r="K4" s="27" t="n"/>
      <c r="L4" s="27" t="n"/>
      <c r="M4" s="27" t="n"/>
      <c r="N4" s="27" t="n"/>
    </row>
    <row r="5" ht="20" customHeight="1">
      <c r="A5" s="31">
        <f>IF(A4=0,"（まだ入力がありません。水色の記入例の下の行からご記入ください）",IF(AND(E4=0,C4&lt;&gt;A4),"⚠ 式の入っていない行があります：行を挿入せず 9〜58 行にご記入ください",IF(E4=0,"✓ 必須の未入力はありません","⚠ 必須の未入力が "&amp;E4&amp;" 件あります：本体の赤いセル・右端の行ステータスをご確認ください")))</f>
        <v/>
      </c>
      <c r="M5" s="27" t="n"/>
      <c r="N5" s="27" t="n"/>
    </row>
    <row r="6" ht="22" customHeight="1">
      <c r="A6" s="32" t="inlineStr">
        <is>
          <t>本人情報</t>
        </is>
      </c>
      <c r="M6" s="33" t="inlineStr">
        <is>
          <t>区分</t>
        </is>
      </c>
      <c r="O6" s="34" t="inlineStr">
        <is>
          <t>災害</t>
        </is>
      </c>
      <c r="U6" s="35" t="inlineStr">
        <is>
          <t>傷病</t>
        </is>
      </c>
      <c r="Y6" s="36" t="inlineStr">
        <is>
          <t>休業</t>
        </is>
      </c>
      <c r="AF6" s="37" t="inlineStr">
        <is>
          <t>通勤</t>
        </is>
      </c>
      <c r="AG6" s="38" t="inlineStr">
        <is>
          <t>事情</t>
        </is>
      </c>
      <c r="AH6" s="32" t="inlineStr">
        <is>
          <t>その他</t>
        </is>
      </c>
    </row>
    <row r="7" ht="70" customHeight="1">
      <c r="A7" s="6" t="inlineStr">
        <is>
          <t>氏名（漢字）
【必】</t>
        </is>
      </c>
      <c r="B7" s="6" t="inlineStr">
        <is>
          <t>氏名（フリガナ）
【必】</t>
        </is>
      </c>
      <c r="C7" s="6" t="inlineStr">
        <is>
          <t>生年月日
【必】</t>
        </is>
      </c>
      <c r="D7" s="6" t="inlineStr">
        <is>
          <t>マイナンバー(12桁)
【必】</t>
        </is>
      </c>
      <c r="E7" s="6" t="inlineStr">
        <is>
          <t>基礎年金番号(10桁)
【必】</t>
        </is>
      </c>
      <c r="F7" s="6" t="inlineStr">
        <is>
          <t>雇用保険被保険者番号(11桁)
【必】</t>
        </is>
      </c>
      <c r="G7" s="6" t="inlineStr">
        <is>
          <t>郵便番号
【必】</t>
        </is>
      </c>
      <c r="H7" s="6" t="inlineStr">
        <is>
          <t>都道府県
【必】</t>
        </is>
      </c>
      <c r="I7" s="6" t="inlineStr">
        <is>
          <t>市区町村以下
【必】</t>
        </is>
      </c>
      <c r="J7" s="7" t="inlineStr">
        <is>
          <t>建物名・部屋番号
【任】</t>
        </is>
      </c>
      <c r="K7" s="7" t="inlineStr">
        <is>
          <t>電話番号
【任】</t>
        </is>
      </c>
      <c r="L7" s="6" t="inlineStr">
        <is>
          <t>職種
【必】</t>
        </is>
      </c>
      <c r="M7" s="6" t="inlineStr">
        <is>
          <t>災害区分
【必】</t>
        </is>
      </c>
      <c r="N7" s="6" t="inlineStr">
        <is>
          <t>請求様式
【必】</t>
        </is>
      </c>
      <c r="O7" s="6" t="inlineStr">
        <is>
          <t>災害発生年月日
【必】</t>
        </is>
      </c>
      <c r="P7" s="7" t="inlineStr">
        <is>
          <t>発生時刻
【任】</t>
        </is>
      </c>
      <c r="Q7" s="6" t="inlineStr">
        <is>
          <t>発生場所
【必】</t>
        </is>
      </c>
      <c r="R7" s="6" t="inlineStr">
        <is>
          <t>災害発生状況（どのように）
【必】</t>
        </is>
      </c>
      <c r="S7" s="7" t="inlineStr">
        <is>
          <t>災害発生を確認した方の職名
【任】</t>
        </is>
      </c>
      <c r="T7" s="7" t="inlineStr">
        <is>
          <t>同 氏名
【任】</t>
        </is>
      </c>
      <c r="U7" s="6" t="inlineStr">
        <is>
          <t>傷病の部位
【必】</t>
        </is>
      </c>
      <c r="V7" s="6" t="inlineStr">
        <is>
          <t>傷病名
【必】</t>
        </is>
      </c>
      <c r="W7" s="6" t="inlineStr">
        <is>
          <t>療養開始日
【必】</t>
        </is>
      </c>
      <c r="X7" s="6" t="inlineStr">
        <is>
          <t>労災指定病院か
【必】</t>
        </is>
      </c>
      <c r="Y7" s="7" t="inlineStr">
        <is>
          <t>休業期間 開始
【条件により必須】</t>
        </is>
      </c>
      <c r="Z7" s="7" t="inlineStr">
        <is>
          <t>休業期間 終了
【任】</t>
        </is>
      </c>
      <c r="AA7" s="7" t="inlineStr">
        <is>
          <t>直近3か月の賃金総額（円）
【任】</t>
        </is>
      </c>
      <c r="AB7" s="7" t="inlineStr">
        <is>
          <t>賃金台帳・出勤簿の添付
【条件により必須】</t>
        </is>
      </c>
      <c r="AC7" s="7" t="inlineStr">
        <is>
          <t>休業給付の振込先
【条件により必須】</t>
        </is>
      </c>
      <c r="AD7" s="7" t="inlineStr">
        <is>
          <t>他社でも働いていますか
【任】</t>
        </is>
      </c>
      <c r="AE7" s="7" t="inlineStr">
        <is>
          <t>他社の事業場名・労働保険番号
【条件により必須】</t>
        </is>
      </c>
      <c r="AF7" s="7" t="inlineStr">
        <is>
          <t>通勤経路（通勤災害時）
【条件により必須】</t>
        </is>
      </c>
      <c r="AG7" s="6" t="inlineStr">
        <is>
          <t>第三者行為
【必】</t>
        </is>
      </c>
      <c r="AH7" s="7" t="inlineStr">
        <is>
          <t>備考（連絡事項）
【任】</t>
        </is>
      </c>
      <c r="AI7" s="39" t="inlineStr">
        <is>
          <t>行ステータス
（CSV可否）</t>
        </is>
      </c>
    </row>
    <row r="8" ht="37" customHeight="1">
      <c r="A8" s="40" t="inlineStr">
        <is>
          <t>山田　太郎</t>
        </is>
      </c>
      <c r="B8" s="41" t="inlineStr">
        <is>
          <t>ヤマダ　タロウ</t>
        </is>
      </c>
      <c r="C8" s="42" t="n">
        <v>32964</v>
      </c>
      <c r="D8" s="43" t="inlineStr">
        <is>
          <t>123456789012</t>
        </is>
      </c>
      <c r="E8" s="43" t="inlineStr">
        <is>
          <t>後日提出</t>
        </is>
      </c>
      <c r="F8" s="43" t="inlineStr">
        <is>
          <t>なし</t>
        </is>
      </c>
      <c r="G8" s="43" t="inlineStr">
        <is>
          <t>930-0001</t>
        </is>
      </c>
      <c r="H8" s="41" t="inlineStr">
        <is>
          <t>富山県</t>
        </is>
      </c>
      <c r="I8" s="41" t="inlineStr">
        <is>
          <t>富山市〇〇1-2-3</t>
        </is>
      </c>
      <c r="J8" s="41" t="inlineStr">
        <is>
          <t>〇〇マンション101</t>
        </is>
      </c>
      <c r="K8" s="43" t="inlineStr">
        <is>
          <t>076-000-0000</t>
        </is>
      </c>
      <c r="L8" s="41" t="inlineStr">
        <is>
          <t>製造・生産工程</t>
        </is>
      </c>
      <c r="M8" s="41" t="inlineStr">
        <is>
          <t>業務災害</t>
        </is>
      </c>
      <c r="N8" s="41" t="inlineStr">
        <is>
          <t>5号（療養・労災指定病院）</t>
        </is>
      </c>
      <c r="O8" s="42" t="n">
        <v>46178</v>
      </c>
      <c r="P8" s="41" t="inlineStr">
        <is>
          <t>10:15</t>
        </is>
      </c>
      <c r="Q8" s="41" t="inlineStr">
        <is>
          <t>本社2階 倉庫</t>
        </is>
      </c>
      <c r="R8" s="41" t="inlineStr">
        <is>
          <t>棚から荷物を下ろす際に脚立から転落し右手首を負傷した。</t>
        </is>
      </c>
      <c r="S8" s="41" t="inlineStr">
        <is>
          <t>製造課長</t>
        </is>
      </c>
      <c r="T8" s="41" t="inlineStr">
        <is>
          <t>鈴木　一郎</t>
        </is>
      </c>
      <c r="U8" s="41" t="inlineStr">
        <is>
          <t>右手首</t>
        </is>
      </c>
      <c r="V8" s="41" t="inlineStr">
        <is>
          <t>右橈骨遠位端骨折</t>
        </is>
      </c>
      <c r="W8" s="42" t="n">
        <v>46178</v>
      </c>
      <c r="X8" s="41" t="inlineStr">
        <is>
          <t>あり</t>
        </is>
      </c>
      <c r="Y8" s="42" t="n">
        <v>46178</v>
      </c>
      <c r="Z8" s="42" t="n">
        <v>46203</v>
      </c>
      <c r="AA8" s="44" t="n">
        <v>900000</v>
      </c>
      <c r="AB8" s="41" t="inlineStr">
        <is>
          <t>あり</t>
        </is>
      </c>
      <c r="AC8" s="41" t="inlineStr">
        <is>
          <t>〇〇銀行 富山支店 普通 1234567 ヤマダ　タロウ</t>
        </is>
      </c>
      <c r="AD8" s="41" t="inlineStr">
        <is>
          <t>なし</t>
        </is>
      </c>
      <c r="AE8" s="41" t="n"/>
      <c r="AF8" s="41" t="n"/>
      <c r="AG8" s="41" t="inlineStr">
        <is>
          <t>なし</t>
        </is>
      </c>
      <c r="AH8" s="41" t="inlineStr">
        <is>
          <t>← この行は記入例です</t>
        </is>
      </c>
    </row>
    <row r="9">
      <c r="A9" s="18" t="n"/>
      <c r="B9" s="18" t="n"/>
      <c r="C9" s="20" t="n"/>
      <c r="D9" s="45" t="n"/>
      <c r="E9" s="45" t="n"/>
      <c r="F9" s="45" t="n"/>
      <c r="G9" s="45" t="n"/>
      <c r="H9" s="18" t="n"/>
      <c r="I9" s="18" t="n"/>
      <c r="J9" s="18" t="n"/>
      <c r="K9" s="45" t="n"/>
      <c r="L9" s="18" t="n"/>
      <c r="M9" s="18" t="n"/>
      <c r="N9" s="18" t="n"/>
      <c r="O9" s="20" t="n"/>
      <c r="P9" s="18" t="n"/>
      <c r="Q9" s="18" t="n"/>
      <c r="R9" s="18" t="n"/>
      <c r="S9" s="18" t="n"/>
      <c r="T9" s="18" t="n"/>
      <c r="U9" s="18" t="n"/>
      <c r="V9" s="18" t="n"/>
      <c r="W9" s="20" t="n"/>
      <c r="X9" s="18" t="n"/>
      <c r="Y9" s="20" t="n"/>
      <c r="Z9" s="20" t="n"/>
      <c r="AA9" s="46" t="n"/>
      <c r="AB9" s="18" t="n"/>
      <c r="AC9" s="18" t="n"/>
      <c r="AD9" s="18" t="n"/>
      <c r="AE9" s="18" t="n"/>
      <c r="AF9" s="18" t="n"/>
      <c r="AG9" s="18" t="n"/>
      <c r="AH9" s="18" t="n"/>
      <c r="AI9" s="13">
        <f>IF($A9="","",IF(AJ9&gt;0,"未入力","CSV可"))</f>
        <v/>
      </c>
      <c r="AJ9">
        <f>IF($A9="","",IF($A9="",1,0)+IF($B9="",1,0)+IF($C9="",1,0)+IF($D9="",1,0)+IF($E9="",1,0)+IF($F9="",1,0)+IF($G9="",1,0)+IF($H9="",1,0)+IF($I9="",1,0)+IF($L9="",1,0)+IF($M9="",1,0)+IF($N9="",1,0)+IF($O9="",1,0)+IF($Q9="",1,0)+IF($R9="",1,0)+IF($U9="",1,0)+IF($V9="",1,0)+IF($W9="",1,0)+IF($X9="",1,0)+IF($AG9="",1,0)+IF(AND($M9="通勤災害",$AF9=""),1,0)+IF(AND(OR($N9="8号（休業補償給付）",$N9="16号の6（通勤・休業）"),$AB9=""),1,0)+IF(AND(OR($N9="8号（休業補償給付）",$N9="16号の6（通勤・休業）"),$Y9=""),1,0)+IF(AND(OR($N9="8号（休業補償給付）",$N9="16号の6（通勤・休業）"),$AC9=""),1,0)+IF(AND($AD9="あり",$AE9=""),1,0))</f>
        <v/>
      </c>
    </row>
    <row r="10">
      <c r="A10" s="18" t="n"/>
      <c r="B10" s="18" t="n"/>
      <c r="C10" s="20" t="n"/>
      <c r="D10" s="45" t="n"/>
      <c r="E10" s="45" t="n"/>
      <c r="F10" s="45" t="n"/>
      <c r="G10" s="45" t="n"/>
      <c r="H10" s="18" t="n"/>
      <c r="I10" s="18" t="n"/>
      <c r="J10" s="18" t="n"/>
      <c r="K10" s="45" t="n"/>
      <c r="L10" s="18" t="n"/>
      <c r="M10" s="18" t="n"/>
      <c r="N10" s="18" t="n"/>
      <c r="O10" s="20" t="n"/>
      <c r="P10" s="18" t="n"/>
      <c r="Q10" s="18" t="n"/>
      <c r="R10" s="18" t="n"/>
      <c r="S10" s="18" t="n"/>
      <c r="T10" s="18" t="n"/>
      <c r="U10" s="18" t="n"/>
      <c r="V10" s="18" t="n"/>
      <c r="W10" s="20" t="n"/>
      <c r="X10" s="18" t="n"/>
      <c r="Y10" s="20" t="n"/>
      <c r="Z10" s="20" t="n"/>
      <c r="AA10" s="46" t="n"/>
      <c r="AB10" s="18" t="n"/>
      <c r="AC10" s="18" t="n"/>
      <c r="AD10" s="18" t="n"/>
      <c r="AE10" s="18" t="n"/>
      <c r="AF10" s="18" t="n"/>
      <c r="AG10" s="18" t="n"/>
      <c r="AH10" s="18" t="n"/>
      <c r="AI10" s="13">
        <f>IF($A10="","",IF(AJ10&gt;0,"未入力","CSV可"))</f>
        <v/>
      </c>
      <c r="AJ10">
        <f>IF($A10="","",IF($A10="",1,0)+IF($B10="",1,0)+IF($C10="",1,0)+IF($D10="",1,0)+IF($E10="",1,0)+IF($F10="",1,0)+IF($G10="",1,0)+IF($H10="",1,0)+IF($I10="",1,0)+IF($L10="",1,0)+IF($M10="",1,0)+IF($N10="",1,0)+IF($O10="",1,0)+IF($Q10="",1,0)+IF($R10="",1,0)+IF($U10="",1,0)+IF($V10="",1,0)+IF($W10="",1,0)+IF($X10="",1,0)+IF($AG10="",1,0)+IF(AND($M10="通勤災害",$AF10=""),1,0)+IF(AND(OR($N10="8号（休業補償給付）",$N10="16号の6（通勤・休業）"),$AB10=""),1,0)+IF(AND(OR($N10="8号（休業補償給付）",$N10="16号の6（通勤・休業）"),$Y10=""),1,0)+IF(AND(OR($N10="8号（休業補償給付）",$N10="16号の6（通勤・休業）"),$AC10=""),1,0)+IF(AND($AD10="あり",$AE10=""),1,0))</f>
        <v/>
      </c>
    </row>
    <row r="11">
      <c r="A11" s="18" t="n"/>
      <c r="B11" s="18" t="n"/>
      <c r="C11" s="20" t="n"/>
      <c r="D11" s="45" t="n"/>
      <c r="E11" s="45" t="n"/>
      <c r="F11" s="45" t="n"/>
      <c r="G11" s="45" t="n"/>
      <c r="H11" s="18" t="n"/>
      <c r="I11" s="18" t="n"/>
      <c r="J11" s="18" t="n"/>
      <c r="K11" s="45" t="n"/>
      <c r="L11" s="18" t="n"/>
      <c r="M11" s="18" t="n"/>
      <c r="N11" s="18" t="n"/>
      <c r="O11" s="20" t="n"/>
      <c r="P11" s="18" t="n"/>
      <c r="Q11" s="18" t="n"/>
      <c r="R11" s="18" t="n"/>
      <c r="S11" s="18" t="n"/>
      <c r="T11" s="18" t="n"/>
      <c r="U11" s="18" t="n"/>
      <c r="V11" s="18" t="n"/>
      <c r="W11" s="20" t="n"/>
      <c r="X11" s="18" t="n"/>
      <c r="Y11" s="20" t="n"/>
      <c r="Z11" s="20" t="n"/>
      <c r="AA11" s="46" t="n"/>
      <c r="AB11" s="18" t="n"/>
      <c r="AC11" s="18" t="n"/>
      <c r="AD11" s="18" t="n"/>
      <c r="AE11" s="18" t="n"/>
      <c r="AF11" s="18" t="n"/>
      <c r="AG11" s="18" t="n"/>
      <c r="AH11" s="18" t="n"/>
      <c r="AI11" s="13">
        <f>IF($A11="","",IF(AJ11&gt;0,"未入力","CSV可"))</f>
        <v/>
      </c>
      <c r="AJ11">
        <f>IF($A11="","",IF($A11="",1,0)+IF($B11="",1,0)+IF($C11="",1,0)+IF($D11="",1,0)+IF($E11="",1,0)+IF($F11="",1,0)+IF($G11="",1,0)+IF($H11="",1,0)+IF($I11="",1,0)+IF($L11="",1,0)+IF($M11="",1,0)+IF($N11="",1,0)+IF($O11="",1,0)+IF($Q11="",1,0)+IF($R11="",1,0)+IF($U11="",1,0)+IF($V11="",1,0)+IF($W11="",1,0)+IF($X11="",1,0)+IF($AG11="",1,0)+IF(AND($M11="通勤災害",$AF11=""),1,0)+IF(AND(OR($N11="8号（休業補償給付）",$N11="16号の6（通勤・休業）"),$AB11=""),1,0)+IF(AND(OR($N11="8号（休業補償給付）",$N11="16号の6（通勤・休業）"),$Y11=""),1,0)+IF(AND(OR($N11="8号（休業補償給付）",$N11="16号の6（通勤・休業）"),$AC11=""),1,0)+IF(AND($AD11="あり",$AE11=""),1,0))</f>
        <v/>
      </c>
    </row>
    <row r="12">
      <c r="A12" s="18" t="n"/>
      <c r="B12" s="18" t="n"/>
      <c r="C12" s="20" t="n"/>
      <c r="D12" s="45" t="n"/>
      <c r="E12" s="45" t="n"/>
      <c r="F12" s="45" t="n"/>
      <c r="G12" s="45" t="n"/>
      <c r="H12" s="18" t="n"/>
      <c r="I12" s="18" t="n"/>
      <c r="J12" s="18" t="n"/>
      <c r="K12" s="45" t="n"/>
      <c r="L12" s="18" t="n"/>
      <c r="M12" s="18" t="n"/>
      <c r="N12" s="18" t="n"/>
      <c r="O12" s="20" t="n"/>
      <c r="P12" s="18" t="n"/>
      <c r="Q12" s="18" t="n"/>
      <c r="R12" s="18" t="n"/>
      <c r="S12" s="18" t="n"/>
      <c r="T12" s="18" t="n"/>
      <c r="U12" s="18" t="n"/>
      <c r="V12" s="18" t="n"/>
      <c r="W12" s="20" t="n"/>
      <c r="X12" s="18" t="n"/>
      <c r="Y12" s="20" t="n"/>
      <c r="Z12" s="20" t="n"/>
      <c r="AA12" s="46" t="n"/>
      <c r="AB12" s="18" t="n"/>
      <c r="AC12" s="18" t="n"/>
      <c r="AD12" s="18" t="n"/>
      <c r="AE12" s="18" t="n"/>
      <c r="AF12" s="18" t="n"/>
      <c r="AG12" s="18" t="n"/>
      <c r="AH12" s="18" t="n"/>
      <c r="AI12" s="13">
        <f>IF($A12="","",IF(AJ12&gt;0,"未入力","CSV可"))</f>
        <v/>
      </c>
      <c r="AJ12">
        <f>IF($A12="","",IF($A12="",1,0)+IF($B12="",1,0)+IF($C12="",1,0)+IF($D12="",1,0)+IF($E12="",1,0)+IF($F12="",1,0)+IF($G12="",1,0)+IF($H12="",1,0)+IF($I12="",1,0)+IF($L12="",1,0)+IF($M12="",1,0)+IF($N12="",1,0)+IF($O12="",1,0)+IF($Q12="",1,0)+IF($R12="",1,0)+IF($U12="",1,0)+IF($V12="",1,0)+IF($W12="",1,0)+IF($X12="",1,0)+IF($AG12="",1,0)+IF(AND($M12="通勤災害",$AF12=""),1,0)+IF(AND(OR($N12="8号（休業補償給付）",$N12="16号の6（通勤・休業）"),$AB12=""),1,0)+IF(AND(OR($N12="8号（休業補償給付）",$N12="16号の6（通勤・休業）"),$Y12=""),1,0)+IF(AND(OR($N12="8号（休業補償給付）",$N12="16号の6（通勤・休業）"),$AC12=""),1,0)+IF(AND($AD12="あり",$AE12=""),1,0))</f>
        <v/>
      </c>
    </row>
    <row r="13">
      <c r="A13" s="18" t="n"/>
      <c r="B13" s="18" t="n"/>
      <c r="C13" s="20" t="n"/>
      <c r="D13" s="45" t="n"/>
      <c r="E13" s="45" t="n"/>
      <c r="F13" s="45" t="n"/>
      <c r="G13" s="45" t="n"/>
      <c r="H13" s="18" t="n"/>
      <c r="I13" s="18" t="n"/>
      <c r="J13" s="18" t="n"/>
      <c r="K13" s="45" t="n"/>
      <c r="L13" s="18" t="n"/>
      <c r="M13" s="18" t="n"/>
      <c r="N13" s="18" t="n"/>
      <c r="O13" s="20" t="n"/>
      <c r="P13" s="18" t="n"/>
      <c r="Q13" s="18" t="n"/>
      <c r="R13" s="18" t="n"/>
      <c r="S13" s="18" t="n"/>
      <c r="T13" s="18" t="n"/>
      <c r="U13" s="18" t="n"/>
      <c r="V13" s="18" t="n"/>
      <c r="W13" s="20" t="n"/>
      <c r="X13" s="18" t="n"/>
      <c r="Y13" s="20" t="n"/>
      <c r="Z13" s="20" t="n"/>
      <c r="AA13" s="46" t="n"/>
      <c r="AB13" s="18" t="n"/>
      <c r="AC13" s="18" t="n"/>
      <c r="AD13" s="18" t="n"/>
      <c r="AE13" s="18" t="n"/>
      <c r="AF13" s="18" t="n"/>
      <c r="AG13" s="18" t="n"/>
      <c r="AH13" s="18" t="n"/>
      <c r="AI13" s="13">
        <f>IF($A13="","",IF(AJ13&gt;0,"未入力","CSV可"))</f>
        <v/>
      </c>
      <c r="AJ13">
        <f>IF($A13="","",IF($A13="",1,0)+IF($B13="",1,0)+IF($C13="",1,0)+IF($D13="",1,0)+IF($E13="",1,0)+IF($F13="",1,0)+IF($G13="",1,0)+IF($H13="",1,0)+IF($I13="",1,0)+IF($L13="",1,0)+IF($M13="",1,0)+IF($N13="",1,0)+IF($O13="",1,0)+IF($Q13="",1,0)+IF($R13="",1,0)+IF($U13="",1,0)+IF($V13="",1,0)+IF($W13="",1,0)+IF($X13="",1,0)+IF($AG13="",1,0)+IF(AND($M13="通勤災害",$AF13=""),1,0)+IF(AND(OR($N13="8号（休業補償給付）",$N13="16号の6（通勤・休業）"),$AB13=""),1,0)+IF(AND(OR($N13="8号（休業補償給付）",$N13="16号の6（通勤・休業）"),$Y13=""),1,0)+IF(AND(OR($N13="8号（休業補償給付）",$N13="16号の6（通勤・休業）"),$AC13=""),1,0)+IF(AND($AD13="あり",$AE13=""),1,0))</f>
        <v/>
      </c>
    </row>
    <row r="14">
      <c r="A14" s="18" t="n"/>
      <c r="B14" s="18" t="n"/>
      <c r="C14" s="20" t="n"/>
      <c r="D14" s="45" t="n"/>
      <c r="E14" s="45" t="n"/>
      <c r="F14" s="45" t="n"/>
      <c r="G14" s="45" t="n"/>
      <c r="H14" s="18" t="n"/>
      <c r="I14" s="18" t="n"/>
      <c r="J14" s="18" t="n"/>
      <c r="K14" s="45" t="n"/>
      <c r="L14" s="18" t="n"/>
      <c r="M14" s="18" t="n"/>
      <c r="N14" s="18" t="n"/>
      <c r="O14" s="20" t="n"/>
      <c r="P14" s="18" t="n"/>
      <c r="Q14" s="18" t="n"/>
      <c r="R14" s="18" t="n"/>
      <c r="S14" s="18" t="n"/>
      <c r="T14" s="18" t="n"/>
      <c r="U14" s="18" t="n"/>
      <c r="V14" s="18" t="n"/>
      <c r="W14" s="20" t="n"/>
      <c r="X14" s="18" t="n"/>
      <c r="Y14" s="20" t="n"/>
      <c r="Z14" s="20" t="n"/>
      <c r="AA14" s="46" t="n"/>
      <c r="AB14" s="18" t="n"/>
      <c r="AC14" s="18" t="n"/>
      <c r="AD14" s="18" t="n"/>
      <c r="AE14" s="18" t="n"/>
      <c r="AF14" s="18" t="n"/>
      <c r="AG14" s="18" t="n"/>
      <c r="AH14" s="18" t="n"/>
      <c r="AI14" s="13">
        <f>IF($A14="","",IF(AJ14&gt;0,"未入力","CSV可"))</f>
        <v/>
      </c>
      <c r="AJ14">
        <f>IF($A14="","",IF($A14="",1,0)+IF($B14="",1,0)+IF($C14="",1,0)+IF($D14="",1,0)+IF($E14="",1,0)+IF($F14="",1,0)+IF($G14="",1,0)+IF($H14="",1,0)+IF($I14="",1,0)+IF($L14="",1,0)+IF($M14="",1,0)+IF($N14="",1,0)+IF($O14="",1,0)+IF($Q14="",1,0)+IF($R14="",1,0)+IF($U14="",1,0)+IF($V14="",1,0)+IF($W14="",1,0)+IF($X14="",1,0)+IF($AG14="",1,0)+IF(AND($M14="通勤災害",$AF14=""),1,0)+IF(AND(OR($N14="8号（休業補償給付）",$N14="16号の6（通勤・休業）"),$AB14=""),1,0)+IF(AND(OR($N14="8号（休業補償給付）",$N14="16号の6（通勤・休業）"),$Y14=""),1,0)+IF(AND(OR($N14="8号（休業補償給付）",$N14="16号の6（通勤・休業）"),$AC14=""),1,0)+IF(AND($AD14="あり",$AE14=""),1,0))</f>
        <v/>
      </c>
    </row>
    <row r="15">
      <c r="A15" s="18" t="n"/>
      <c r="B15" s="18" t="n"/>
      <c r="C15" s="20" t="n"/>
      <c r="D15" s="45" t="n"/>
      <c r="E15" s="45" t="n"/>
      <c r="F15" s="45" t="n"/>
      <c r="G15" s="45" t="n"/>
      <c r="H15" s="18" t="n"/>
      <c r="I15" s="18" t="n"/>
      <c r="J15" s="18" t="n"/>
      <c r="K15" s="45" t="n"/>
      <c r="L15" s="18" t="n"/>
      <c r="M15" s="18" t="n"/>
      <c r="N15" s="18" t="n"/>
      <c r="O15" s="20" t="n"/>
      <c r="P15" s="18" t="n"/>
      <c r="Q15" s="18" t="n"/>
      <c r="R15" s="18" t="n"/>
      <c r="S15" s="18" t="n"/>
      <c r="T15" s="18" t="n"/>
      <c r="U15" s="18" t="n"/>
      <c r="V15" s="18" t="n"/>
      <c r="W15" s="20" t="n"/>
      <c r="X15" s="18" t="n"/>
      <c r="Y15" s="20" t="n"/>
      <c r="Z15" s="20" t="n"/>
      <c r="AA15" s="46" t="n"/>
      <c r="AB15" s="18" t="n"/>
      <c r="AC15" s="18" t="n"/>
      <c r="AD15" s="18" t="n"/>
      <c r="AE15" s="18" t="n"/>
      <c r="AF15" s="18" t="n"/>
      <c r="AG15" s="18" t="n"/>
      <c r="AH15" s="18" t="n"/>
      <c r="AI15" s="13">
        <f>IF($A15="","",IF(AJ15&gt;0,"未入力","CSV可"))</f>
        <v/>
      </c>
      <c r="AJ15">
        <f>IF($A15="","",IF($A15="",1,0)+IF($B15="",1,0)+IF($C15="",1,0)+IF($D15="",1,0)+IF($E15="",1,0)+IF($F15="",1,0)+IF($G15="",1,0)+IF($H15="",1,0)+IF($I15="",1,0)+IF($L15="",1,0)+IF($M15="",1,0)+IF($N15="",1,0)+IF($O15="",1,0)+IF($Q15="",1,0)+IF($R15="",1,0)+IF($U15="",1,0)+IF($V15="",1,0)+IF($W15="",1,0)+IF($X15="",1,0)+IF($AG15="",1,0)+IF(AND($M15="通勤災害",$AF15=""),1,0)+IF(AND(OR($N15="8号（休業補償給付）",$N15="16号の6（通勤・休業）"),$AB15=""),1,0)+IF(AND(OR($N15="8号（休業補償給付）",$N15="16号の6（通勤・休業）"),$Y15=""),1,0)+IF(AND(OR($N15="8号（休業補償給付）",$N15="16号の6（通勤・休業）"),$AC15=""),1,0)+IF(AND($AD15="あり",$AE15=""),1,0))</f>
        <v/>
      </c>
    </row>
    <row r="16">
      <c r="A16" s="18" t="n"/>
      <c r="B16" s="18" t="n"/>
      <c r="C16" s="20" t="n"/>
      <c r="D16" s="45" t="n"/>
      <c r="E16" s="45" t="n"/>
      <c r="F16" s="45" t="n"/>
      <c r="G16" s="45" t="n"/>
      <c r="H16" s="18" t="n"/>
      <c r="I16" s="18" t="n"/>
      <c r="J16" s="18" t="n"/>
      <c r="K16" s="45" t="n"/>
      <c r="L16" s="18" t="n"/>
      <c r="M16" s="18" t="n"/>
      <c r="N16" s="18" t="n"/>
      <c r="O16" s="20" t="n"/>
      <c r="P16" s="18" t="n"/>
      <c r="Q16" s="18" t="n"/>
      <c r="R16" s="18" t="n"/>
      <c r="S16" s="18" t="n"/>
      <c r="T16" s="18" t="n"/>
      <c r="U16" s="18" t="n"/>
      <c r="V16" s="18" t="n"/>
      <c r="W16" s="20" t="n"/>
      <c r="X16" s="18" t="n"/>
      <c r="Y16" s="20" t="n"/>
      <c r="Z16" s="20" t="n"/>
      <c r="AA16" s="46" t="n"/>
      <c r="AB16" s="18" t="n"/>
      <c r="AC16" s="18" t="n"/>
      <c r="AD16" s="18" t="n"/>
      <c r="AE16" s="18" t="n"/>
      <c r="AF16" s="18" t="n"/>
      <c r="AG16" s="18" t="n"/>
      <c r="AH16" s="18" t="n"/>
      <c r="AI16" s="13">
        <f>IF($A16="","",IF(AJ16&gt;0,"未入力","CSV可"))</f>
        <v/>
      </c>
      <c r="AJ16">
        <f>IF($A16="","",IF($A16="",1,0)+IF($B16="",1,0)+IF($C16="",1,0)+IF($D16="",1,0)+IF($E16="",1,0)+IF($F16="",1,0)+IF($G16="",1,0)+IF($H16="",1,0)+IF($I16="",1,0)+IF($L16="",1,0)+IF($M16="",1,0)+IF($N16="",1,0)+IF($O16="",1,0)+IF($Q16="",1,0)+IF($R16="",1,0)+IF($U16="",1,0)+IF($V16="",1,0)+IF($W16="",1,0)+IF($X16="",1,0)+IF($AG16="",1,0)+IF(AND($M16="通勤災害",$AF16=""),1,0)+IF(AND(OR($N16="8号（休業補償給付）",$N16="16号の6（通勤・休業）"),$AB16=""),1,0)+IF(AND(OR($N16="8号（休業補償給付）",$N16="16号の6（通勤・休業）"),$Y16=""),1,0)+IF(AND(OR($N16="8号（休業補償給付）",$N16="16号の6（通勤・休業）"),$AC16=""),1,0)+IF(AND($AD16="あり",$AE16=""),1,0))</f>
        <v/>
      </c>
    </row>
    <row r="17">
      <c r="A17" s="18" t="n"/>
      <c r="B17" s="18" t="n"/>
      <c r="C17" s="20" t="n"/>
      <c r="D17" s="45" t="n"/>
      <c r="E17" s="45" t="n"/>
      <c r="F17" s="45" t="n"/>
      <c r="G17" s="45" t="n"/>
      <c r="H17" s="18" t="n"/>
      <c r="I17" s="18" t="n"/>
      <c r="J17" s="18" t="n"/>
      <c r="K17" s="45" t="n"/>
      <c r="L17" s="18" t="n"/>
      <c r="M17" s="18" t="n"/>
      <c r="N17" s="18" t="n"/>
      <c r="O17" s="20" t="n"/>
      <c r="P17" s="18" t="n"/>
      <c r="Q17" s="18" t="n"/>
      <c r="R17" s="18" t="n"/>
      <c r="S17" s="18" t="n"/>
      <c r="T17" s="18" t="n"/>
      <c r="U17" s="18" t="n"/>
      <c r="V17" s="18" t="n"/>
      <c r="W17" s="20" t="n"/>
      <c r="X17" s="18" t="n"/>
      <c r="Y17" s="20" t="n"/>
      <c r="Z17" s="20" t="n"/>
      <c r="AA17" s="46" t="n"/>
      <c r="AB17" s="18" t="n"/>
      <c r="AC17" s="18" t="n"/>
      <c r="AD17" s="18" t="n"/>
      <c r="AE17" s="18" t="n"/>
      <c r="AF17" s="18" t="n"/>
      <c r="AG17" s="18" t="n"/>
      <c r="AH17" s="18" t="n"/>
      <c r="AI17" s="13">
        <f>IF($A17="","",IF(AJ17&gt;0,"未入力","CSV可"))</f>
        <v/>
      </c>
      <c r="AJ17">
        <f>IF($A17="","",IF($A17="",1,0)+IF($B17="",1,0)+IF($C17="",1,0)+IF($D17="",1,0)+IF($E17="",1,0)+IF($F17="",1,0)+IF($G17="",1,0)+IF($H17="",1,0)+IF($I17="",1,0)+IF($L17="",1,0)+IF($M17="",1,0)+IF($N17="",1,0)+IF($O17="",1,0)+IF($Q17="",1,0)+IF($R17="",1,0)+IF($U17="",1,0)+IF($V17="",1,0)+IF($W17="",1,0)+IF($X17="",1,0)+IF($AG17="",1,0)+IF(AND($M17="通勤災害",$AF17=""),1,0)+IF(AND(OR($N17="8号（休業補償給付）",$N17="16号の6（通勤・休業）"),$AB17=""),1,0)+IF(AND(OR($N17="8号（休業補償給付）",$N17="16号の6（通勤・休業）"),$Y17=""),1,0)+IF(AND(OR($N17="8号（休業補償給付）",$N17="16号の6（通勤・休業）"),$AC17=""),1,0)+IF(AND($AD17="あり",$AE17=""),1,0))</f>
        <v/>
      </c>
    </row>
    <row r="18">
      <c r="A18" s="18" t="n"/>
      <c r="B18" s="18" t="n"/>
      <c r="C18" s="20" t="n"/>
      <c r="D18" s="45" t="n"/>
      <c r="E18" s="45" t="n"/>
      <c r="F18" s="45" t="n"/>
      <c r="G18" s="45" t="n"/>
      <c r="H18" s="18" t="n"/>
      <c r="I18" s="18" t="n"/>
      <c r="J18" s="18" t="n"/>
      <c r="K18" s="45" t="n"/>
      <c r="L18" s="18" t="n"/>
      <c r="M18" s="18" t="n"/>
      <c r="N18" s="18" t="n"/>
      <c r="O18" s="20" t="n"/>
      <c r="P18" s="18" t="n"/>
      <c r="Q18" s="18" t="n"/>
      <c r="R18" s="18" t="n"/>
      <c r="S18" s="18" t="n"/>
      <c r="T18" s="18" t="n"/>
      <c r="U18" s="18" t="n"/>
      <c r="V18" s="18" t="n"/>
      <c r="W18" s="20" t="n"/>
      <c r="X18" s="18" t="n"/>
      <c r="Y18" s="20" t="n"/>
      <c r="Z18" s="20" t="n"/>
      <c r="AA18" s="46" t="n"/>
      <c r="AB18" s="18" t="n"/>
      <c r="AC18" s="18" t="n"/>
      <c r="AD18" s="18" t="n"/>
      <c r="AE18" s="18" t="n"/>
      <c r="AF18" s="18" t="n"/>
      <c r="AG18" s="18" t="n"/>
      <c r="AH18" s="18" t="n"/>
      <c r="AI18" s="13">
        <f>IF($A18="","",IF(AJ18&gt;0,"未入力","CSV可"))</f>
        <v/>
      </c>
      <c r="AJ18">
        <f>IF($A18="","",IF($A18="",1,0)+IF($B18="",1,0)+IF($C18="",1,0)+IF($D18="",1,0)+IF($E18="",1,0)+IF($F18="",1,0)+IF($G18="",1,0)+IF($H18="",1,0)+IF($I18="",1,0)+IF($L18="",1,0)+IF($M18="",1,0)+IF($N18="",1,0)+IF($O18="",1,0)+IF($Q18="",1,0)+IF($R18="",1,0)+IF($U18="",1,0)+IF($V18="",1,0)+IF($W18="",1,0)+IF($X18="",1,0)+IF($AG18="",1,0)+IF(AND($M18="通勤災害",$AF18=""),1,0)+IF(AND(OR($N18="8号（休業補償給付）",$N18="16号の6（通勤・休業）"),$AB18=""),1,0)+IF(AND(OR($N18="8号（休業補償給付）",$N18="16号の6（通勤・休業）"),$Y18=""),1,0)+IF(AND(OR($N18="8号（休業補償給付）",$N18="16号の6（通勤・休業）"),$AC18=""),1,0)+IF(AND($AD18="あり",$AE18=""),1,0))</f>
        <v/>
      </c>
    </row>
    <row r="19">
      <c r="A19" s="18" t="n"/>
      <c r="B19" s="18" t="n"/>
      <c r="C19" s="20" t="n"/>
      <c r="D19" s="45" t="n"/>
      <c r="E19" s="45" t="n"/>
      <c r="F19" s="45" t="n"/>
      <c r="G19" s="45" t="n"/>
      <c r="H19" s="18" t="n"/>
      <c r="I19" s="18" t="n"/>
      <c r="J19" s="18" t="n"/>
      <c r="K19" s="45" t="n"/>
      <c r="L19" s="18" t="n"/>
      <c r="M19" s="18" t="n"/>
      <c r="N19" s="18" t="n"/>
      <c r="O19" s="20" t="n"/>
      <c r="P19" s="18" t="n"/>
      <c r="Q19" s="18" t="n"/>
      <c r="R19" s="18" t="n"/>
      <c r="S19" s="18" t="n"/>
      <c r="T19" s="18" t="n"/>
      <c r="U19" s="18" t="n"/>
      <c r="V19" s="18" t="n"/>
      <c r="W19" s="20" t="n"/>
      <c r="X19" s="18" t="n"/>
      <c r="Y19" s="20" t="n"/>
      <c r="Z19" s="20" t="n"/>
      <c r="AA19" s="46" t="n"/>
      <c r="AB19" s="18" t="n"/>
      <c r="AC19" s="18" t="n"/>
      <c r="AD19" s="18" t="n"/>
      <c r="AE19" s="18" t="n"/>
      <c r="AF19" s="18" t="n"/>
      <c r="AG19" s="18" t="n"/>
      <c r="AH19" s="18" t="n"/>
      <c r="AI19" s="13">
        <f>IF($A19="","",IF(AJ19&gt;0,"未入力","CSV可"))</f>
        <v/>
      </c>
      <c r="AJ19">
        <f>IF($A19="","",IF($A19="",1,0)+IF($B19="",1,0)+IF($C19="",1,0)+IF($D19="",1,0)+IF($E19="",1,0)+IF($F19="",1,0)+IF($G19="",1,0)+IF($H19="",1,0)+IF($I19="",1,0)+IF($L19="",1,0)+IF($M19="",1,0)+IF($N19="",1,0)+IF($O19="",1,0)+IF($Q19="",1,0)+IF($R19="",1,0)+IF($U19="",1,0)+IF($V19="",1,0)+IF($W19="",1,0)+IF($X19="",1,0)+IF($AG19="",1,0)+IF(AND($M19="通勤災害",$AF19=""),1,0)+IF(AND(OR($N19="8号（休業補償給付）",$N19="16号の6（通勤・休業）"),$AB19=""),1,0)+IF(AND(OR($N19="8号（休業補償給付）",$N19="16号の6（通勤・休業）"),$Y19=""),1,0)+IF(AND(OR($N19="8号（休業補償給付）",$N19="16号の6（通勤・休業）"),$AC19=""),1,0)+IF(AND($AD19="あり",$AE19=""),1,0))</f>
        <v/>
      </c>
    </row>
    <row r="20">
      <c r="A20" s="18" t="n"/>
      <c r="B20" s="18" t="n"/>
      <c r="C20" s="20" t="n"/>
      <c r="D20" s="45" t="n"/>
      <c r="E20" s="45" t="n"/>
      <c r="F20" s="45" t="n"/>
      <c r="G20" s="45" t="n"/>
      <c r="H20" s="18" t="n"/>
      <c r="I20" s="18" t="n"/>
      <c r="J20" s="18" t="n"/>
      <c r="K20" s="45" t="n"/>
      <c r="L20" s="18" t="n"/>
      <c r="M20" s="18" t="n"/>
      <c r="N20" s="18" t="n"/>
      <c r="O20" s="20" t="n"/>
      <c r="P20" s="18" t="n"/>
      <c r="Q20" s="18" t="n"/>
      <c r="R20" s="18" t="n"/>
      <c r="S20" s="18" t="n"/>
      <c r="T20" s="18" t="n"/>
      <c r="U20" s="18" t="n"/>
      <c r="V20" s="18" t="n"/>
      <c r="W20" s="20" t="n"/>
      <c r="X20" s="18" t="n"/>
      <c r="Y20" s="20" t="n"/>
      <c r="Z20" s="20" t="n"/>
      <c r="AA20" s="46" t="n"/>
      <c r="AB20" s="18" t="n"/>
      <c r="AC20" s="18" t="n"/>
      <c r="AD20" s="18" t="n"/>
      <c r="AE20" s="18" t="n"/>
      <c r="AF20" s="18" t="n"/>
      <c r="AG20" s="18" t="n"/>
      <c r="AH20" s="18" t="n"/>
      <c r="AI20" s="13">
        <f>IF($A20="","",IF(AJ20&gt;0,"未入力","CSV可"))</f>
        <v/>
      </c>
      <c r="AJ20">
        <f>IF($A20="","",IF($A20="",1,0)+IF($B20="",1,0)+IF($C20="",1,0)+IF($D20="",1,0)+IF($E20="",1,0)+IF($F20="",1,0)+IF($G20="",1,0)+IF($H20="",1,0)+IF($I20="",1,0)+IF($L20="",1,0)+IF($M20="",1,0)+IF($N20="",1,0)+IF($O20="",1,0)+IF($Q20="",1,0)+IF($R20="",1,0)+IF($U20="",1,0)+IF($V20="",1,0)+IF($W20="",1,0)+IF($X20="",1,0)+IF($AG20="",1,0)+IF(AND($M20="通勤災害",$AF20=""),1,0)+IF(AND(OR($N20="8号（休業補償給付）",$N20="16号の6（通勤・休業）"),$AB20=""),1,0)+IF(AND(OR($N20="8号（休業補償給付）",$N20="16号の6（通勤・休業）"),$Y20=""),1,0)+IF(AND(OR($N20="8号（休業補償給付）",$N20="16号の6（通勤・休業）"),$AC20=""),1,0)+IF(AND($AD20="あり",$AE20=""),1,0))</f>
        <v/>
      </c>
    </row>
    <row r="21">
      <c r="A21" s="18" t="n"/>
      <c r="B21" s="18" t="n"/>
      <c r="C21" s="20" t="n"/>
      <c r="D21" s="45" t="n"/>
      <c r="E21" s="45" t="n"/>
      <c r="F21" s="45" t="n"/>
      <c r="G21" s="45" t="n"/>
      <c r="H21" s="18" t="n"/>
      <c r="I21" s="18" t="n"/>
      <c r="J21" s="18" t="n"/>
      <c r="K21" s="45" t="n"/>
      <c r="L21" s="18" t="n"/>
      <c r="M21" s="18" t="n"/>
      <c r="N21" s="18" t="n"/>
      <c r="O21" s="20" t="n"/>
      <c r="P21" s="18" t="n"/>
      <c r="Q21" s="18" t="n"/>
      <c r="R21" s="18" t="n"/>
      <c r="S21" s="18" t="n"/>
      <c r="T21" s="18" t="n"/>
      <c r="U21" s="18" t="n"/>
      <c r="V21" s="18" t="n"/>
      <c r="W21" s="20" t="n"/>
      <c r="X21" s="18" t="n"/>
      <c r="Y21" s="20" t="n"/>
      <c r="Z21" s="20" t="n"/>
      <c r="AA21" s="46" t="n"/>
      <c r="AB21" s="18" t="n"/>
      <c r="AC21" s="18" t="n"/>
      <c r="AD21" s="18" t="n"/>
      <c r="AE21" s="18" t="n"/>
      <c r="AF21" s="18" t="n"/>
      <c r="AG21" s="18" t="n"/>
      <c r="AH21" s="18" t="n"/>
      <c r="AI21" s="13">
        <f>IF($A21="","",IF(AJ21&gt;0,"未入力","CSV可"))</f>
        <v/>
      </c>
      <c r="AJ21">
        <f>IF($A21="","",IF($A21="",1,0)+IF($B21="",1,0)+IF($C21="",1,0)+IF($D21="",1,0)+IF($E21="",1,0)+IF($F21="",1,0)+IF($G21="",1,0)+IF($H21="",1,0)+IF($I21="",1,0)+IF($L21="",1,0)+IF($M21="",1,0)+IF($N21="",1,0)+IF($O21="",1,0)+IF($Q21="",1,0)+IF($R21="",1,0)+IF($U21="",1,0)+IF($V21="",1,0)+IF($W21="",1,0)+IF($X21="",1,0)+IF($AG21="",1,0)+IF(AND($M21="通勤災害",$AF21=""),1,0)+IF(AND(OR($N21="8号（休業補償給付）",$N21="16号の6（通勤・休業）"),$AB21=""),1,0)+IF(AND(OR($N21="8号（休業補償給付）",$N21="16号の6（通勤・休業）"),$Y21=""),1,0)+IF(AND(OR($N21="8号（休業補償給付）",$N21="16号の6（通勤・休業）"),$AC21=""),1,0)+IF(AND($AD21="あり",$AE21=""),1,0))</f>
        <v/>
      </c>
    </row>
    <row r="22">
      <c r="A22" s="18" t="n"/>
      <c r="B22" s="18" t="n"/>
      <c r="C22" s="20" t="n"/>
      <c r="D22" s="45" t="n"/>
      <c r="E22" s="45" t="n"/>
      <c r="F22" s="45" t="n"/>
      <c r="G22" s="45" t="n"/>
      <c r="H22" s="18" t="n"/>
      <c r="I22" s="18" t="n"/>
      <c r="J22" s="18" t="n"/>
      <c r="K22" s="45" t="n"/>
      <c r="L22" s="18" t="n"/>
      <c r="M22" s="18" t="n"/>
      <c r="N22" s="18" t="n"/>
      <c r="O22" s="20" t="n"/>
      <c r="P22" s="18" t="n"/>
      <c r="Q22" s="18" t="n"/>
      <c r="R22" s="18" t="n"/>
      <c r="S22" s="18" t="n"/>
      <c r="T22" s="18" t="n"/>
      <c r="U22" s="18" t="n"/>
      <c r="V22" s="18" t="n"/>
      <c r="W22" s="20" t="n"/>
      <c r="X22" s="18" t="n"/>
      <c r="Y22" s="20" t="n"/>
      <c r="Z22" s="20" t="n"/>
      <c r="AA22" s="46" t="n"/>
      <c r="AB22" s="18" t="n"/>
      <c r="AC22" s="18" t="n"/>
      <c r="AD22" s="18" t="n"/>
      <c r="AE22" s="18" t="n"/>
      <c r="AF22" s="18" t="n"/>
      <c r="AG22" s="18" t="n"/>
      <c r="AH22" s="18" t="n"/>
      <c r="AI22" s="13">
        <f>IF($A22="","",IF(AJ22&gt;0,"未入力","CSV可"))</f>
        <v/>
      </c>
      <c r="AJ22">
        <f>IF($A22="","",IF($A22="",1,0)+IF($B22="",1,0)+IF($C22="",1,0)+IF($D22="",1,0)+IF($E22="",1,0)+IF($F22="",1,0)+IF($G22="",1,0)+IF($H22="",1,0)+IF($I22="",1,0)+IF($L22="",1,0)+IF($M22="",1,0)+IF($N22="",1,0)+IF($O22="",1,0)+IF($Q22="",1,0)+IF($R22="",1,0)+IF($U22="",1,0)+IF($V22="",1,0)+IF($W22="",1,0)+IF($X22="",1,0)+IF($AG22="",1,0)+IF(AND($M22="通勤災害",$AF22=""),1,0)+IF(AND(OR($N22="8号（休業補償給付）",$N22="16号の6（通勤・休業）"),$AB22=""),1,0)+IF(AND(OR($N22="8号（休業補償給付）",$N22="16号の6（通勤・休業）"),$Y22=""),1,0)+IF(AND(OR($N22="8号（休業補償給付）",$N22="16号の6（通勤・休業）"),$AC22=""),1,0)+IF(AND($AD22="あり",$AE22=""),1,0))</f>
        <v/>
      </c>
    </row>
    <row r="23">
      <c r="A23" s="18" t="n"/>
      <c r="B23" s="18" t="n"/>
      <c r="C23" s="20" t="n"/>
      <c r="D23" s="45" t="n"/>
      <c r="E23" s="45" t="n"/>
      <c r="F23" s="45" t="n"/>
      <c r="G23" s="45" t="n"/>
      <c r="H23" s="18" t="n"/>
      <c r="I23" s="18" t="n"/>
      <c r="J23" s="18" t="n"/>
      <c r="K23" s="45" t="n"/>
      <c r="L23" s="18" t="n"/>
      <c r="M23" s="18" t="n"/>
      <c r="N23" s="18" t="n"/>
      <c r="O23" s="20" t="n"/>
      <c r="P23" s="18" t="n"/>
      <c r="Q23" s="18" t="n"/>
      <c r="R23" s="18" t="n"/>
      <c r="S23" s="18" t="n"/>
      <c r="T23" s="18" t="n"/>
      <c r="U23" s="18" t="n"/>
      <c r="V23" s="18" t="n"/>
      <c r="W23" s="20" t="n"/>
      <c r="X23" s="18" t="n"/>
      <c r="Y23" s="20" t="n"/>
      <c r="Z23" s="20" t="n"/>
      <c r="AA23" s="46" t="n"/>
      <c r="AB23" s="18" t="n"/>
      <c r="AC23" s="18" t="n"/>
      <c r="AD23" s="18" t="n"/>
      <c r="AE23" s="18" t="n"/>
      <c r="AF23" s="18" t="n"/>
      <c r="AG23" s="18" t="n"/>
      <c r="AH23" s="18" t="n"/>
      <c r="AI23" s="13">
        <f>IF($A23="","",IF(AJ23&gt;0,"未入力","CSV可"))</f>
        <v/>
      </c>
      <c r="AJ23">
        <f>IF($A23="","",IF($A23="",1,0)+IF($B23="",1,0)+IF($C23="",1,0)+IF($D23="",1,0)+IF($E23="",1,0)+IF($F23="",1,0)+IF($G23="",1,0)+IF($H23="",1,0)+IF($I23="",1,0)+IF($L23="",1,0)+IF($M23="",1,0)+IF($N23="",1,0)+IF($O23="",1,0)+IF($Q23="",1,0)+IF($R23="",1,0)+IF($U23="",1,0)+IF($V23="",1,0)+IF($W23="",1,0)+IF($X23="",1,0)+IF($AG23="",1,0)+IF(AND($M23="通勤災害",$AF23=""),1,0)+IF(AND(OR($N23="8号（休業補償給付）",$N23="16号の6（通勤・休業）"),$AB23=""),1,0)+IF(AND(OR($N23="8号（休業補償給付）",$N23="16号の6（通勤・休業）"),$Y23=""),1,0)+IF(AND(OR($N23="8号（休業補償給付）",$N23="16号の6（通勤・休業）"),$AC23=""),1,0)+IF(AND($AD23="あり",$AE23=""),1,0))</f>
        <v/>
      </c>
    </row>
    <row r="24">
      <c r="A24" s="18" t="n"/>
      <c r="B24" s="18" t="n"/>
      <c r="C24" s="20" t="n"/>
      <c r="D24" s="45" t="n"/>
      <c r="E24" s="45" t="n"/>
      <c r="F24" s="45" t="n"/>
      <c r="G24" s="45" t="n"/>
      <c r="H24" s="18" t="n"/>
      <c r="I24" s="18" t="n"/>
      <c r="J24" s="18" t="n"/>
      <c r="K24" s="45" t="n"/>
      <c r="L24" s="18" t="n"/>
      <c r="M24" s="18" t="n"/>
      <c r="N24" s="18" t="n"/>
      <c r="O24" s="20" t="n"/>
      <c r="P24" s="18" t="n"/>
      <c r="Q24" s="18" t="n"/>
      <c r="R24" s="18" t="n"/>
      <c r="S24" s="18" t="n"/>
      <c r="T24" s="18" t="n"/>
      <c r="U24" s="18" t="n"/>
      <c r="V24" s="18" t="n"/>
      <c r="W24" s="20" t="n"/>
      <c r="X24" s="18" t="n"/>
      <c r="Y24" s="20" t="n"/>
      <c r="Z24" s="20" t="n"/>
      <c r="AA24" s="46" t="n"/>
      <c r="AB24" s="18" t="n"/>
      <c r="AC24" s="18" t="n"/>
      <c r="AD24" s="18" t="n"/>
      <c r="AE24" s="18" t="n"/>
      <c r="AF24" s="18" t="n"/>
      <c r="AG24" s="18" t="n"/>
      <c r="AH24" s="18" t="n"/>
      <c r="AI24" s="13">
        <f>IF($A24="","",IF(AJ24&gt;0,"未入力","CSV可"))</f>
        <v/>
      </c>
      <c r="AJ24">
        <f>IF($A24="","",IF($A24="",1,0)+IF($B24="",1,0)+IF($C24="",1,0)+IF($D24="",1,0)+IF($E24="",1,0)+IF($F24="",1,0)+IF($G24="",1,0)+IF($H24="",1,0)+IF($I24="",1,0)+IF($L24="",1,0)+IF($M24="",1,0)+IF($N24="",1,0)+IF($O24="",1,0)+IF($Q24="",1,0)+IF($R24="",1,0)+IF($U24="",1,0)+IF($V24="",1,0)+IF($W24="",1,0)+IF($X24="",1,0)+IF($AG24="",1,0)+IF(AND($M24="通勤災害",$AF24=""),1,0)+IF(AND(OR($N24="8号（休業補償給付）",$N24="16号の6（通勤・休業）"),$AB24=""),1,0)+IF(AND(OR($N24="8号（休業補償給付）",$N24="16号の6（通勤・休業）"),$Y24=""),1,0)+IF(AND(OR($N24="8号（休業補償給付）",$N24="16号の6（通勤・休業）"),$AC24=""),1,0)+IF(AND($AD24="あり",$AE24=""),1,0))</f>
        <v/>
      </c>
    </row>
    <row r="25">
      <c r="A25" s="18" t="n"/>
      <c r="B25" s="18" t="n"/>
      <c r="C25" s="20" t="n"/>
      <c r="D25" s="45" t="n"/>
      <c r="E25" s="45" t="n"/>
      <c r="F25" s="45" t="n"/>
      <c r="G25" s="45" t="n"/>
      <c r="H25" s="18" t="n"/>
      <c r="I25" s="18" t="n"/>
      <c r="J25" s="18" t="n"/>
      <c r="K25" s="45" t="n"/>
      <c r="L25" s="18" t="n"/>
      <c r="M25" s="18" t="n"/>
      <c r="N25" s="18" t="n"/>
      <c r="O25" s="20" t="n"/>
      <c r="P25" s="18" t="n"/>
      <c r="Q25" s="18" t="n"/>
      <c r="R25" s="18" t="n"/>
      <c r="S25" s="18" t="n"/>
      <c r="T25" s="18" t="n"/>
      <c r="U25" s="18" t="n"/>
      <c r="V25" s="18" t="n"/>
      <c r="W25" s="20" t="n"/>
      <c r="X25" s="18" t="n"/>
      <c r="Y25" s="20" t="n"/>
      <c r="Z25" s="20" t="n"/>
      <c r="AA25" s="46" t="n"/>
      <c r="AB25" s="18" t="n"/>
      <c r="AC25" s="18" t="n"/>
      <c r="AD25" s="18" t="n"/>
      <c r="AE25" s="18" t="n"/>
      <c r="AF25" s="18" t="n"/>
      <c r="AG25" s="18" t="n"/>
      <c r="AH25" s="18" t="n"/>
      <c r="AI25" s="13">
        <f>IF($A25="","",IF(AJ25&gt;0,"未入力","CSV可"))</f>
        <v/>
      </c>
      <c r="AJ25">
        <f>IF($A25="","",IF($A25="",1,0)+IF($B25="",1,0)+IF($C25="",1,0)+IF($D25="",1,0)+IF($E25="",1,0)+IF($F25="",1,0)+IF($G25="",1,0)+IF($H25="",1,0)+IF($I25="",1,0)+IF($L25="",1,0)+IF($M25="",1,0)+IF($N25="",1,0)+IF($O25="",1,0)+IF($Q25="",1,0)+IF($R25="",1,0)+IF($U25="",1,0)+IF($V25="",1,0)+IF($W25="",1,0)+IF($X25="",1,0)+IF($AG25="",1,0)+IF(AND($M25="通勤災害",$AF25=""),1,0)+IF(AND(OR($N25="8号（休業補償給付）",$N25="16号の6（通勤・休業）"),$AB25=""),1,0)+IF(AND(OR($N25="8号（休業補償給付）",$N25="16号の6（通勤・休業）"),$Y25=""),1,0)+IF(AND(OR($N25="8号（休業補償給付）",$N25="16号の6（通勤・休業）"),$AC25=""),1,0)+IF(AND($AD25="あり",$AE25=""),1,0))</f>
        <v/>
      </c>
    </row>
    <row r="26">
      <c r="A26" s="18" t="n"/>
      <c r="B26" s="18" t="n"/>
      <c r="C26" s="20" t="n"/>
      <c r="D26" s="45" t="n"/>
      <c r="E26" s="45" t="n"/>
      <c r="F26" s="45" t="n"/>
      <c r="G26" s="45" t="n"/>
      <c r="H26" s="18" t="n"/>
      <c r="I26" s="18" t="n"/>
      <c r="J26" s="18" t="n"/>
      <c r="K26" s="45" t="n"/>
      <c r="L26" s="18" t="n"/>
      <c r="M26" s="18" t="n"/>
      <c r="N26" s="18" t="n"/>
      <c r="O26" s="20" t="n"/>
      <c r="P26" s="18" t="n"/>
      <c r="Q26" s="18" t="n"/>
      <c r="R26" s="18" t="n"/>
      <c r="S26" s="18" t="n"/>
      <c r="T26" s="18" t="n"/>
      <c r="U26" s="18" t="n"/>
      <c r="V26" s="18" t="n"/>
      <c r="W26" s="20" t="n"/>
      <c r="X26" s="18" t="n"/>
      <c r="Y26" s="20" t="n"/>
      <c r="Z26" s="20" t="n"/>
      <c r="AA26" s="46" t="n"/>
      <c r="AB26" s="18" t="n"/>
      <c r="AC26" s="18" t="n"/>
      <c r="AD26" s="18" t="n"/>
      <c r="AE26" s="18" t="n"/>
      <c r="AF26" s="18" t="n"/>
      <c r="AG26" s="18" t="n"/>
      <c r="AH26" s="18" t="n"/>
      <c r="AI26" s="13">
        <f>IF($A26="","",IF(AJ26&gt;0,"未入力","CSV可"))</f>
        <v/>
      </c>
      <c r="AJ26">
        <f>IF($A26="","",IF($A26="",1,0)+IF($B26="",1,0)+IF($C26="",1,0)+IF($D26="",1,0)+IF($E26="",1,0)+IF($F26="",1,0)+IF($G26="",1,0)+IF($H26="",1,0)+IF($I26="",1,0)+IF($L26="",1,0)+IF($M26="",1,0)+IF($N26="",1,0)+IF($O26="",1,0)+IF($Q26="",1,0)+IF($R26="",1,0)+IF($U26="",1,0)+IF($V26="",1,0)+IF($W26="",1,0)+IF($X26="",1,0)+IF($AG26="",1,0)+IF(AND($M26="通勤災害",$AF26=""),1,0)+IF(AND(OR($N26="8号（休業補償給付）",$N26="16号の6（通勤・休業）"),$AB26=""),1,0)+IF(AND(OR($N26="8号（休業補償給付）",$N26="16号の6（通勤・休業）"),$Y26=""),1,0)+IF(AND(OR($N26="8号（休業補償給付）",$N26="16号の6（通勤・休業）"),$AC26=""),1,0)+IF(AND($AD26="あり",$AE26=""),1,0))</f>
        <v/>
      </c>
    </row>
    <row r="27">
      <c r="A27" s="18" t="n"/>
      <c r="B27" s="18" t="n"/>
      <c r="C27" s="20" t="n"/>
      <c r="D27" s="45" t="n"/>
      <c r="E27" s="45" t="n"/>
      <c r="F27" s="45" t="n"/>
      <c r="G27" s="45" t="n"/>
      <c r="H27" s="18" t="n"/>
      <c r="I27" s="18" t="n"/>
      <c r="J27" s="18" t="n"/>
      <c r="K27" s="45" t="n"/>
      <c r="L27" s="18" t="n"/>
      <c r="M27" s="18" t="n"/>
      <c r="N27" s="18" t="n"/>
      <c r="O27" s="20" t="n"/>
      <c r="P27" s="18" t="n"/>
      <c r="Q27" s="18" t="n"/>
      <c r="R27" s="18" t="n"/>
      <c r="S27" s="18" t="n"/>
      <c r="T27" s="18" t="n"/>
      <c r="U27" s="18" t="n"/>
      <c r="V27" s="18" t="n"/>
      <c r="W27" s="20" t="n"/>
      <c r="X27" s="18" t="n"/>
      <c r="Y27" s="20" t="n"/>
      <c r="Z27" s="20" t="n"/>
      <c r="AA27" s="46" t="n"/>
      <c r="AB27" s="18" t="n"/>
      <c r="AC27" s="18" t="n"/>
      <c r="AD27" s="18" t="n"/>
      <c r="AE27" s="18" t="n"/>
      <c r="AF27" s="18" t="n"/>
      <c r="AG27" s="18" t="n"/>
      <c r="AH27" s="18" t="n"/>
      <c r="AI27" s="13">
        <f>IF($A27="","",IF(AJ27&gt;0,"未入力","CSV可"))</f>
        <v/>
      </c>
      <c r="AJ27">
        <f>IF($A27="","",IF($A27="",1,0)+IF($B27="",1,0)+IF($C27="",1,0)+IF($D27="",1,0)+IF($E27="",1,0)+IF($F27="",1,0)+IF($G27="",1,0)+IF($H27="",1,0)+IF($I27="",1,0)+IF($L27="",1,0)+IF($M27="",1,0)+IF($N27="",1,0)+IF($O27="",1,0)+IF($Q27="",1,0)+IF($R27="",1,0)+IF($U27="",1,0)+IF($V27="",1,0)+IF($W27="",1,0)+IF($X27="",1,0)+IF($AG27="",1,0)+IF(AND($M27="通勤災害",$AF27=""),1,0)+IF(AND(OR($N27="8号（休業補償給付）",$N27="16号の6（通勤・休業）"),$AB27=""),1,0)+IF(AND(OR($N27="8号（休業補償給付）",$N27="16号の6（通勤・休業）"),$Y27=""),1,0)+IF(AND(OR($N27="8号（休業補償給付）",$N27="16号の6（通勤・休業）"),$AC27=""),1,0)+IF(AND($AD27="あり",$AE27=""),1,0))</f>
        <v/>
      </c>
    </row>
    <row r="28">
      <c r="A28" s="18" t="n"/>
      <c r="B28" s="18" t="n"/>
      <c r="C28" s="20" t="n"/>
      <c r="D28" s="45" t="n"/>
      <c r="E28" s="45" t="n"/>
      <c r="F28" s="45" t="n"/>
      <c r="G28" s="45" t="n"/>
      <c r="H28" s="18" t="n"/>
      <c r="I28" s="18" t="n"/>
      <c r="J28" s="18" t="n"/>
      <c r="K28" s="45" t="n"/>
      <c r="L28" s="18" t="n"/>
      <c r="M28" s="18" t="n"/>
      <c r="N28" s="18" t="n"/>
      <c r="O28" s="20" t="n"/>
      <c r="P28" s="18" t="n"/>
      <c r="Q28" s="18" t="n"/>
      <c r="R28" s="18" t="n"/>
      <c r="S28" s="18" t="n"/>
      <c r="T28" s="18" t="n"/>
      <c r="U28" s="18" t="n"/>
      <c r="V28" s="18" t="n"/>
      <c r="W28" s="20" t="n"/>
      <c r="X28" s="18" t="n"/>
      <c r="Y28" s="20" t="n"/>
      <c r="Z28" s="20" t="n"/>
      <c r="AA28" s="46" t="n"/>
      <c r="AB28" s="18" t="n"/>
      <c r="AC28" s="18" t="n"/>
      <c r="AD28" s="18" t="n"/>
      <c r="AE28" s="18" t="n"/>
      <c r="AF28" s="18" t="n"/>
      <c r="AG28" s="18" t="n"/>
      <c r="AH28" s="18" t="n"/>
      <c r="AI28" s="13">
        <f>IF($A28="","",IF(AJ28&gt;0,"未入力","CSV可"))</f>
        <v/>
      </c>
      <c r="AJ28">
        <f>IF($A28="","",IF($A28="",1,0)+IF($B28="",1,0)+IF($C28="",1,0)+IF($D28="",1,0)+IF($E28="",1,0)+IF($F28="",1,0)+IF($G28="",1,0)+IF($H28="",1,0)+IF($I28="",1,0)+IF($L28="",1,0)+IF($M28="",1,0)+IF($N28="",1,0)+IF($O28="",1,0)+IF($Q28="",1,0)+IF($R28="",1,0)+IF($U28="",1,0)+IF($V28="",1,0)+IF($W28="",1,0)+IF($X28="",1,0)+IF($AG28="",1,0)+IF(AND($M28="通勤災害",$AF28=""),1,0)+IF(AND(OR($N28="8号（休業補償給付）",$N28="16号の6（通勤・休業）"),$AB28=""),1,0)+IF(AND(OR($N28="8号（休業補償給付）",$N28="16号の6（通勤・休業）"),$Y28=""),1,0)+IF(AND(OR($N28="8号（休業補償給付）",$N28="16号の6（通勤・休業）"),$AC28=""),1,0)+IF(AND($AD28="あり",$AE28=""),1,0))</f>
        <v/>
      </c>
    </row>
    <row r="29">
      <c r="A29" s="18" t="n"/>
      <c r="B29" s="18" t="n"/>
      <c r="C29" s="20" t="n"/>
      <c r="D29" s="45" t="n"/>
      <c r="E29" s="45" t="n"/>
      <c r="F29" s="45" t="n"/>
      <c r="G29" s="45" t="n"/>
      <c r="H29" s="18" t="n"/>
      <c r="I29" s="18" t="n"/>
      <c r="J29" s="18" t="n"/>
      <c r="K29" s="45" t="n"/>
      <c r="L29" s="18" t="n"/>
      <c r="M29" s="18" t="n"/>
      <c r="N29" s="18" t="n"/>
      <c r="O29" s="20" t="n"/>
      <c r="P29" s="18" t="n"/>
      <c r="Q29" s="18" t="n"/>
      <c r="R29" s="18" t="n"/>
      <c r="S29" s="18" t="n"/>
      <c r="T29" s="18" t="n"/>
      <c r="U29" s="18" t="n"/>
      <c r="V29" s="18" t="n"/>
      <c r="W29" s="20" t="n"/>
      <c r="X29" s="18" t="n"/>
      <c r="Y29" s="20" t="n"/>
      <c r="Z29" s="20" t="n"/>
      <c r="AA29" s="46" t="n"/>
      <c r="AB29" s="18" t="n"/>
      <c r="AC29" s="18" t="n"/>
      <c r="AD29" s="18" t="n"/>
      <c r="AE29" s="18" t="n"/>
      <c r="AF29" s="18" t="n"/>
      <c r="AG29" s="18" t="n"/>
      <c r="AH29" s="18" t="n"/>
      <c r="AI29" s="13">
        <f>IF($A29="","",IF(AJ29&gt;0,"未入力","CSV可"))</f>
        <v/>
      </c>
      <c r="AJ29">
        <f>IF($A29="","",IF($A29="",1,0)+IF($B29="",1,0)+IF($C29="",1,0)+IF($D29="",1,0)+IF($E29="",1,0)+IF($F29="",1,0)+IF($G29="",1,0)+IF($H29="",1,0)+IF($I29="",1,0)+IF($L29="",1,0)+IF($M29="",1,0)+IF($N29="",1,0)+IF($O29="",1,0)+IF($Q29="",1,0)+IF($R29="",1,0)+IF($U29="",1,0)+IF($V29="",1,0)+IF($W29="",1,0)+IF($X29="",1,0)+IF($AG29="",1,0)+IF(AND($M29="通勤災害",$AF29=""),1,0)+IF(AND(OR($N29="8号（休業補償給付）",$N29="16号の6（通勤・休業）"),$AB29=""),1,0)+IF(AND(OR($N29="8号（休業補償給付）",$N29="16号の6（通勤・休業）"),$Y29=""),1,0)+IF(AND(OR($N29="8号（休業補償給付）",$N29="16号の6（通勤・休業）"),$AC29=""),1,0)+IF(AND($AD29="あり",$AE29=""),1,0))</f>
        <v/>
      </c>
    </row>
    <row r="30">
      <c r="A30" s="18" t="n"/>
      <c r="B30" s="18" t="n"/>
      <c r="C30" s="20" t="n"/>
      <c r="D30" s="45" t="n"/>
      <c r="E30" s="45" t="n"/>
      <c r="F30" s="45" t="n"/>
      <c r="G30" s="45" t="n"/>
      <c r="H30" s="18" t="n"/>
      <c r="I30" s="18" t="n"/>
      <c r="J30" s="18" t="n"/>
      <c r="K30" s="45" t="n"/>
      <c r="L30" s="18" t="n"/>
      <c r="M30" s="18" t="n"/>
      <c r="N30" s="18" t="n"/>
      <c r="O30" s="20" t="n"/>
      <c r="P30" s="18" t="n"/>
      <c r="Q30" s="18" t="n"/>
      <c r="R30" s="18" t="n"/>
      <c r="S30" s="18" t="n"/>
      <c r="T30" s="18" t="n"/>
      <c r="U30" s="18" t="n"/>
      <c r="V30" s="18" t="n"/>
      <c r="W30" s="20" t="n"/>
      <c r="X30" s="18" t="n"/>
      <c r="Y30" s="20" t="n"/>
      <c r="Z30" s="20" t="n"/>
      <c r="AA30" s="46" t="n"/>
      <c r="AB30" s="18" t="n"/>
      <c r="AC30" s="18" t="n"/>
      <c r="AD30" s="18" t="n"/>
      <c r="AE30" s="18" t="n"/>
      <c r="AF30" s="18" t="n"/>
      <c r="AG30" s="18" t="n"/>
      <c r="AH30" s="18" t="n"/>
      <c r="AI30" s="13">
        <f>IF($A30="","",IF(AJ30&gt;0,"未入力","CSV可"))</f>
        <v/>
      </c>
      <c r="AJ30">
        <f>IF($A30="","",IF($A30="",1,0)+IF($B30="",1,0)+IF($C30="",1,0)+IF($D30="",1,0)+IF($E30="",1,0)+IF($F30="",1,0)+IF($G30="",1,0)+IF($H30="",1,0)+IF($I30="",1,0)+IF($L30="",1,0)+IF($M30="",1,0)+IF($N30="",1,0)+IF($O30="",1,0)+IF($Q30="",1,0)+IF($R30="",1,0)+IF($U30="",1,0)+IF($V30="",1,0)+IF($W30="",1,0)+IF($X30="",1,0)+IF($AG30="",1,0)+IF(AND($M30="通勤災害",$AF30=""),1,0)+IF(AND(OR($N30="8号（休業補償給付）",$N30="16号の6（通勤・休業）"),$AB30=""),1,0)+IF(AND(OR($N30="8号（休業補償給付）",$N30="16号の6（通勤・休業）"),$Y30=""),1,0)+IF(AND(OR($N30="8号（休業補償給付）",$N30="16号の6（通勤・休業）"),$AC30=""),1,0)+IF(AND($AD30="あり",$AE30=""),1,0))</f>
        <v/>
      </c>
    </row>
    <row r="31">
      <c r="A31" s="18" t="n"/>
      <c r="B31" s="18" t="n"/>
      <c r="C31" s="20" t="n"/>
      <c r="D31" s="45" t="n"/>
      <c r="E31" s="45" t="n"/>
      <c r="F31" s="45" t="n"/>
      <c r="G31" s="45" t="n"/>
      <c r="H31" s="18" t="n"/>
      <c r="I31" s="18" t="n"/>
      <c r="J31" s="18" t="n"/>
      <c r="K31" s="45" t="n"/>
      <c r="L31" s="18" t="n"/>
      <c r="M31" s="18" t="n"/>
      <c r="N31" s="18" t="n"/>
      <c r="O31" s="20" t="n"/>
      <c r="P31" s="18" t="n"/>
      <c r="Q31" s="18" t="n"/>
      <c r="R31" s="18" t="n"/>
      <c r="S31" s="18" t="n"/>
      <c r="T31" s="18" t="n"/>
      <c r="U31" s="18" t="n"/>
      <c r="V31" s="18" t="n"/>
      <c r="W31" s="20" t="n"/>
      <c r="X31" s="18" t="n"/>
      <c r="Y31" s="20" t="n"/>
      <c r="Z31" s="20" t="n"/>
      <c r="AA31" s="46" t="n"/>
      <c r="AB31" s="18" t="n"/>
      <c r="AC31" s="18" t="n"/>
      <c r="AD31" s="18" t="n"/>
      <c r="AE31" s="18" t="n"/>
      <c r="AF31" s="18" t="n"/>
      <c r="AG31" s="18" t="n"/>
      <c r="AH31" s="18" t="n"/>
      <c r="AI31" s="13">
        <f>IF($A31="","",IF(AJ31&gt;0,"未入力","CSV可"))</f>
        <v/>
      </c>
      <c r="AJ31">
        <f>IF($A31="","",IF($A31="",1,0)+IF($B31="",1,0)+IF($C31="",1,0)+IF($D31="",1,0)+IF($E31="",1,0)+IF($F31="",1,0)+IF($G31="",1,0)+IF($H31="",1,0)+IF($I31="",1,0)+IF($L31="",1,0)+IF($M31="",1,0)+IF($N31="",1,0)+IF($O31="",1,0)+IF($Q31="",1,0)+IF($R31="",1,0)+IF($U31="",1,0)+IF($V31="",1,0)+IF($W31="",1,0)+IF($X31="",1,0)+IF($AG31="",1,0)+IF(AND($M31="通勤災害",$AF31=""),1,0)+IF(AND(OR($N31="8号（休業補償給付）",$N31="16号の6（通勤・休業）"),$AB31=""),1,0)+IF(AND(OR($N31="8号（休業補償給付）",$N31="16号の6（通勤・休業）"),$Y31=""),1,0)+IF(AND(OR($N31="8号（休業補償給付）",$N31="16号の6（通勤・休業）"),$AC31=""),1,0)+IF(AND($AD31="あり",$AE31=""),1,0))</f>
        <v/>
      </c>
    </row>
    <row r="32">
      <c r="A32" s="18" t="n"/>
      <c r="B32" s="18" t="n"/>
      <c r="C32" s="20" t="n"/>
      <c r="D32" s="45" t="n"/>
      <c r="E32" s="45" t="n"/>
      <c r="F32" s="45" t="n"/>
      <c r="G32" s="45" t="n"/>
      <c r="H32" s="18" t="n"/>
      <c r="I32" s="18" t="n"/>
      <c r="J32" s="18" t="n"/>
      <c r="K32" s="45" t="n"/>
      <c r="L32" s="18" t="n"/>
      <c r="M32" s="18" t="n"/>
      <c r="N32" s="18" t="n"/>
      <c r="O32" s="20" t="n"/>
      <c r="P32" s="18" t="n"/>
      <c r="Q32" s="18" t="n"/>
      <c r="R32" s="18" t="n"/>
      <c r="S32" s="18" t="n"/>
      <c r="T32" s="18" t="n"/>
      <c r="U32" s="18" t="n"/>
      <c r="V32" s="18" t="n"/>
      <c r="W32" s="20" t="n"/>
      <c r="X32" s="18" t="n"/>
      <c r="Y32" s="20" t="n"/>
      <c r="Z32" s="20" t="n"/>
      <c r="AA32" s="46" t="n"/>
      <c r="AB32" s="18" t="n"/>
      <c r="AC32" s="18" t="n"/>
      <c r="AD32" s="18" t="n"/>
      <c r="AE32" s="18" t="n"/>
      <c r="AF32" s="18" t="n"/>
      <c r="AG32" s="18" t="n"/>
      <c r="AH32" s="18" t="n"/>
      <c r="AI32" s="13">
        <f>IF($A32="","",IF(AJ32&gt;0,"未入力","CSV可"))</f>
        <v/>
      </c>
      <c r="AJ32">
        <f>IF($A32="","",IF($A32="",1,0)+IF($B32="",1,0)+IF($C32="",1,0)+IF($D32="",1,0)+IF($E32="",1,0)+IF($F32="",1,0)+IF($G32="",1,0)+IF($H32="",1,0)+IF($I32="",1,0)+IF($L32="",1,0)+IF($M32="",1,0)+IF($N32="",1,0)+IF($O32="",1,0)+IF($Q32="",1,0)+IF($R32="",1,0)+IF($U32="",1,0)+IF($V32="",1,0)+IF($W32="",1,0)+IF($X32="",1,0)+IF($AG32="",1,0)+IF(AND($M32="通勤災害",$AF32=""),1,0)+IF(AND(OR($N32="8号（休業補償給付）",$N32="16号の6（通勤・休業）"),$AB32=""),1,0)+IF(AND(OR($N32="8号（休業補償給付）",$N32="16号の6（通勤・休業）"),$Y32=""),1,0)+IF(AND(OR($N32="8号（休業補償給付）",$N32="16号の6（通勤・休業）"),$AC32=""),1,0)+IF(AND($AD32="あり",$AE32=""),1,0))</f>
        <v/>
      </c>
    </row>
    <row r="33">
      <c r="A33" s="18" t="n"/>
      <c r="B33" s="18" t="n"/>
      <c r="C33" s="20" t="n"/>
      <c r="D33" s="45" t="n"/>
      <c r="E33" s="45" t="n"/>
      <c r="F33" s="45" t="n"/>
      <c r="G33" s="45" t="n"/>
      <c r="H33" s="18" t="n"/>
      <c r="I33" s="18" t="n"/>
      <c r="J33" s="18" t="n"/>
      <c r="K33" s="45" t="n"/>
      <c r="L33" s="18" t="n"/>
      <c r="M33" s="18" t="n"/>
      <c r="N33" s="18" t="n"/>
      <c r="O33" s="20" t="n"/>
      <c r="P33" s="18" t="n"/>
      <c r="Q33" s="18" t="n"/>
      <c r="R33" s="18" t="n"/>
      <c r="S33" s="18" t="n"/>
      <c r="T33" s="18" t="n"/>
      <c r="U33" s="18" t="n"/>
      <c r="V33" s="18" t="n"/>
      <c r="W33" s="20" t="n"/>
      <c r="X33" s="18" t="n"/>
      <c r="Y33" s="20" t="n"/>
      <c r="Z33" s="20" t="n"/>
      <c r="AA33" s="46" t="n"/>
      <c r="AB33" s="18" t="n"/>
      <c r="AC33" s="18" t="n"/>
      <c r="AD33" s="18" t="n"/>
      <c r="AE33" s="18" t="n"/>
      <c r="AF33" s="18" t="n"/>
      <c r="AG33" s="18" t="n"/>
      <c r="AH33" s="18" t="n"/>
      <c r="AI33" s="13">
        <f>IF($A33="","",IF(AJ33&gt;0,"未入力","CSV可"))</f>
        <v/>
      </c>
      <c r="AJ33">
        <f>IF($A33="","",IF($A33="",1,0)+IF($B33="",1,0)+IF($C33="",1,0)+IF($D33="",1,0)+IF($E33="",1,0)+IF($F33="",1,0)+IF($G33="",1,0)+IF($H33="",1,0)+IF($I33="",1,0)+IF($L33="",1,0)+IF($M33="",1,0)+IF($N33="",1,0)+IF($O33="",1,0)+IF($Q33="",1,0)+IF($R33="",1,0)+IF($U33="",1,0)+IF($V33="",1,0)+IF($W33="",1,0)+IF($X33="",1,0)+IF($AG33="",1,0)+IF(AND($M33="通勤災害",$AF33=""),1,0)+IF(AND(OR($N33="8号（休業補償給付）",$N33="16号の6（通勤・休業）"),$AB33=""),1,0)+IF(AND(OR($N33="8号（休業補償給付）",$N33="16号の6（通勤・休業）"),$Y33=""),1,0)+IF(AND(OR($N33="8号（休業補償給付）",$N33="16号の6（通勤・休業）"),$AC33=""),1,0)+IF(AND($AD33="あり",$AE33=""),1,0))</f>
        <v/>
      </c>
    </row>
    <row r="34">
      <c r="A34" s="18" t="n"/>
      <c r="B34" s="18" t="n"/>
      <c r="C34" s="20" t="n"/>
      <c r="D34" s="45" t="n"/>
      <c r="E34" s="45" t="n"/>
      <c r="F34" s="45" t="n"/>
      <c r="G34" s="45" t="n"/>
      <c r="H34" s="18" t="n"/>
      <c r="I34" s="18" t="n"/>
      <c r="J34" s="18" t="n"/>
      <c r="K34" s="45" t="n"/>
      <c r="L34" s="18" t="n"/>
      <c r="M34" s="18" t="n"/>
      <c r="N34" s="18" t="n"/>
      <c r="O34" s="20" t="n"/>
      <c r="P34" s="18" t="n"/>
      <c r="Q34" s="18" t="n"/>
      <c r="R34" s="18" t="n"/>
      <c r="S34" s="18" t="n"/>
      <c r="T34" s="18" t="n"/>
      <c r="U34" s="18" t="n"/>
      <c r="V34" s="18" t="n"/>
      <c r="W34" s="20" t="n"/>
      <c r="X34" s="18" t="n"/>
      <c r="Y34" s="20" t="n"/>
      <c r="Z34" s="20" t="n"/>
      <c r="AA34" s="46" t="n"/>
      <c r="AB34" s="18" t="n"/>
      <c r="AC34" s="18" t="n"/>
      <c r="AD34" s="18" t="n"/>
      <c r="AE34" s="18" t="n"/>
      <c r="AF34" s="18" t="n"/>
      <c r="AG34" s="18" t="n"/>
      <c r="AH34" s="18" t="n"/>
      <c r="AI34" s="13">
        <f>IF($A34="","",IF(AJ34&gt;0,"未入力","CSV可"))</f>
        <v/>
      </c>
      <c r="AJ34">
        <f>IF($A34="","",IF($A34="",1,0)+IF($B34="",1,0)+IF($C34="",1,0)+IF($D34="",1,0)+IF($E34="",1,0)+IF($F34="",1,0)+IF($G34="",1,0)+IF($H34="",1,0)+IF($I34="",1,0)+IF($L34="",1,0)+IF($M34="",1,0)+IF($N34="",1,0)+IF($O34="",1,0)+IF($Q34="",1,0)+IF($R34="",1,0)+IF($U34="",1,0)+IF($V34="",1,0)+IF($W34="",1,0)+IF($X34="",1,0)+IF($AG34="",1,0)+IF(AND($M34="通勤災害",$AF34=""),1,0)+IF(AND(OR($N34="8号（休業補償給付）",$N34="16号の6（通勤・休業）"),$AB34=""),1,0)+IF(AND(OR($N34="8号（休業補償給付）",$N34="16号の6（通勤・休業）"),$Y34=""),1,0)+IF(AND(OR($N34="8号（休業補償給付）",$N34="16号の6（通勤・休業）"),$AC34=""),1,0)+IF(AND($AD34="あり",$AE34=""),1,0))</f>
        <v/>
      </c>
    </row>
    <row r="35">
      <c r="A35" s="18" t="n"/>
      <c r="B35" s="18" t="n"/>
      <c r="C35" s="20" t="n"/>
      <c r="D35" s="45" t="n"/>
      <c r="E35" s="45" t="n"/>
      <c r="F35" s="45" t="n"/>
      <c r="G35" s="45" t="n"/>
      <c r="H35" s="18" t="n"/>
      <c r="I35" s="18" t="n"/>
      <c r="J35" s="18" t="n"/>
      <c r="K35" s="45" t="n"/>
      <c r="L35" s="18" t="n"/>
      <c r="M35" s="18" t="n"/>
      <c r="N35" s="18" t="n"/>
      <c r="O35" s="20" t="n"/>
      <c r="P35" s="18" t="n"/>
      <c r="Q35" s="18" t="n"/>
      <c r="R35" s="18" t="n"/>
      <c r="S35" s="18" t="n"/>
      <c r="T35" s="18" t="n"/>
      <c r="U35" s="18" t="n"/>
      <c r="V35" s="18" t="n"/>
      <c r="W35" s="20" t="n"/>
      <c r="X35" s="18" t="n"/>
      <c r="Y35" s="20" t="n"/>
      <c r="Z35" s="20" t="n"/>
      <c r="AA35" s="46" t="n"/>
      <c r="AB35" s="18" t="n"/>
      <c r="AC35" s="18" t="n"/>
      <c r="AD35" s="18" t="n"/>
      <c r="AE35" s="18" t="n"/>
      <c r="AF35" s="18" t="n"/>
      <c r="AG35" s="18" t="n"/>
      <c r="AH35" s="18" t="n"/>
      <c r="AI35" s="13">
        <f>IF($A35="","",IF(AJ35&gt;0,"未入力","CSV可"))</f>
        <v/>
      </c>
      <c r="AJ35">
        <f>IF($A35="","",IF($A35="",1,0)+IF($B35="",1,0)+IF($C35="",1,0)+IF($D35="",1,0)+IF($E35="",1,0)+IF($F35="",1,0)+IF($G35="",1,0)+IF($H35="",1,0)+IF($I35="",1,0)+IF($L35="",1,0)+IF($M35="",1,0)+IF($N35="",1,0)+IF($O35="",1,0)+IF($Q35="",1,0)+IF($R35="",1,0)+IF($U35="",1,0)+IF($V35="",1,0)+IF($W35="",1,0)+IF($X35="",1,0)+IF($AG35="",1,0)+IF(AND($M35="通勤災害",$AF35=""),1,0)+IF(AND(OR($N35="8号（休業補償給付）",$N35="16号の6（通勤・休業）"),$AB35=""),1,0)+IF(AND(OR($N35="8号（休業補償給付）",$N35="16号の6（通勤・休業）"),$Y35=""),1,0)+IF(AND(OR($N35="8号（休業補償給付）",$N35="16号の6（通勤・休業）"),$AC35=""),1,0)+IF(AND($AD35="あり",$AE35=""),1,0))</f>
        <v/>
      </c>
    </row>
    <row r="36">
      <c r="A36" s="18" t="n"/>
      <c r="B36" s="18" t="n"/>
      <c r="C36" s="20" t="n"/>
      <c r="D36" s="45" t="n"/>
      <c r="E36" s="45" t="n"/>
      <c r="F36" s="45" t="n"/>
      <c r="G36" s="45" t="n"/>
      <c r="H36" s="18" t="n"/>
      <c r="I36" s="18" t="n"/>
      <c r="J36" s="18" t="n"/>
      <c r="K36" s="45" t="n"/>
      <c r="L36" s="18" t="n"/>
      <c r="M36" s="18" t="n"/>
      <c r="N36" s="18" t="n"/>
      <c r="O36" s="20" t="n"/>
      <c r="P36" s="18" t="n"/>
      <c r="Q36" s="18" t="n"/>
      <c r="R36" s="18" t="n"/>
      <c r="S36" s="18" t="n"/>
      <c r="T36" s="18" t="n"/>
      <c r="U36" s="18" t="n"/>
      <c r="V36" s="18" t="n"/>
      <c r="W36" s="20" t="n"/>
      <c r="X36" s="18" t="n"/>
      <c r="Y36" s="20" t="n"/>
      <c r="Z36" s="20" t="n"/>
      <c r="AA36" s="46" t="n"/>
      <c r="AB36" s="18" t="n"/>
      <c r="AC36" s="18" t="n"/>
      <c r="AD36" s="18" t="n"/>
      <c r="AE36" s="18" t="n"/>
      <c r="AF36" s="18" t="n"/>
      <c r="AG36" s="18" t="n"/>
      <c r="AH36" s="18" t="n"/>
      <c r="AI36" s="13">
        <f>IF($A36="","",IF(AJ36&gt;0,"未入力","CSV可"))</f>
        <v/>
      </c>
      <c r="AJ36">
        <f>IF($A36="","",IF($A36="",1,0)+IF($B36="",1,0)+IF($C36="",1,0)+IF($D36="",1,0)+IF($E36="",1,0)+IF($F36="",1,0)+IF($G36="",1,0)+IF($H36="",1,0)+IF($I36="",1,0)+IF($L36="",1,0)+IF($M36="",1,0)+IF($N36="",1,0)+IF($O36="",1,0)+IF($Q36="",1,0)+IF($R36="",1,0)+IF($U36="",1,0)+IF($V36="",1,0)+IF($W36="",1,0)+IF($X36="",1,0)+IF($AG36="",1,0)+IF(AND($M36="通勤災害",$AF36=""),1,0)+IF(AND(OR($N36="8号（休業補償給付）",$N36="16号の6（通勤・休業）"),$AB36=""),1,0)+IF(AND(OR($N36="8号（休業補償給付）",$N36="16号の6（通勤・休業）"),$Y36=""),1,0)+IF(AND(OR($N36="8号（休業補償給付）",$N36="16号の6（通勤・休業）"),$AC36=""),1,0)+IF(AND($AD36="あり",$AE36=""),1,0))</f>
        <v/>
      </c>
    </row>
    <row r="37">
      <c r="A37" s="18" t="n"/>
      <c r="B37" s="18" t="n"/>
      <c r="C37" s="20" t="n"/>
      <c r="D37" s="45" t="n"/>
      <c r="E37" s="45" t="n"/>
      <c r="F37" s="45" t="n"/>
      <c r="G37" s="45" t="n"/>
      <c r="H37" s="18" t="n"/>
      <c r="I37" s="18" t="n"/>
      <c r="J37" s="18" t="n"/>
      <c r="K37" s="45" t="n"/>
      <c r="L37" s="18" t="n"/>
      <c r="M37" s="18" t="n"/>
      <c r="N37" s="18" t="n"/>
      <c r="O37" s="20" t="n"/>
      <c r="P37" s="18" t="n"/>
      <c r="Q37" s="18" t="n"/>
      <c r="R37" s="18" t="n"/>
      <c r="S37" s="18" t="n"/>
      <c r="T37" s="18" t="n"/>
      <c r="U37" s="18" t="n"/>
      <c r="V37" s="18" t="n"/>
      <c r="W37" s="20" t="n"/>
      <c r="X37" s="18" t="n"/>
      <c r="Y37" s="20" t="n"/>
      <c r="Z37" s="20" t="n"/>
      <c r="AA37" s="46" t="n"/>
      <c r="AB37" s="18" t="n"/>
      <c r="AC37" s="18" t="n"/>
      <c r="AD37" s="18" t="n"/>
      <c r="AE37" s="18" t="n"/>
      <c r="AF37" s="18" t="n"/>
      <c r="AG37" s="18" t="n"/>
      <c r="AH37" s="18" t="n"/>
      <c r="AI37" s="13">
        <f>IF($A37="","",IF(AJ37&gt;0,"未入力","CSV可"))</f>
        <v/>
      </c>
      <c r="AJ37">
        <f>IF($A37="","",IF($A37="",1,0)+IF($B37="",1,0)+IF($C37="",1,0)+IF($D37="",1,0)+IF($E37="",1,0)+IF($F37="",1,0)+IF($G37="",1,0)+IF($H37="",1,0)+IF($I37="",1,0)+IF($L37="",1,0)+IF($M37="",1,0)+IF($N37="",1,0)+IF($O37="",1,0)+IF($Q37="",1,0)+IF($R37="",1,0)+IF($U37="",1,0)+IF($V37="",1,0)+IF($W37="",1,0)+IF($X37="",1,0)+IF($AG37="",1,0)+IF(AND($M37="通勤災害",$AF37=""),1,0)+IF(AND(OR($N37="8号（休業補償給付）",$N37="16号の6（通勤・休業）"),$AB37=""),1,0)+IF(AND(OR($N37="8号（休業補償給付）",$N37="16号の6（通勤・休業）"),$Y37=""),1,0)+IF(AND(OR($N37="8号（休業補償給付）",$N37="16号の6（通勤・休業）"),$AC37=""),1,0)+IF(AND($AD37="あり",$AE37=""),1,0))</f>
        <v/>
      </c>
    </row>
    <row r="38">
      <c r="A38" s="18" t="n"/>
      <c r="B38" s="18" t="n"/>
      <c r="C38" s="20" t="n"/>
      <c r="D38" s="45" t="n"/>
      <c r="E38" s="45" t="n"/>
      <c r="F38" s="45" t="n"/>
      <c r="G38" s="45" t="n"/>
      <c r="H38" s="18" t="n"/>
      <c r="I38" s="18" t="n"/>
      <c r="J38" s="18" t="n"/>
      <c r="K38" s="45" t="n"/>
      <c r="L38" s="18" t="n"/>
      <c r="M38" s="18" t="n"/>
      <c r="N38" s="18" t="n"/>
      <c r="O38" s="20" t="n"/>
      <c r="P38" s="18" t="n"/>
      <c r="Q38" s="18" t="n"/>
      <c r="R38" s="18" t="n"/>
      <c r="S38" s="18" t="n"/>
      <c r="T38" s="18" t="n"/>
      <c r="U38" s="18" t="n"/>
      <c r="V38" s="18" t="n"/>
      <c r="W38" s="20" t="n"/>
      <c r="X38" s="18" t="n"/>
      <c r="Y38" s="20" t="n"/>
      <c r="Z38" s="20" t="n"/>
      <c r="AA38" s="46" t="n"/>
      <c r="AB38" s="18" t="n"/>
      <c r="AC38" s="18" t="n"/>
      <c r="AD38" s="18" t="n"/>
      <c r="AE38" s="18" t="n"/>
      <c r="AF38" s="18" t="n"/>
      <c r="AG38" s="18" t="n"/>
      <c r="AH38" s="18" t="n"/>
      <c r="AI38" s="13">
        <f>IF($A38="","",IF(AJ38&gt;0,"未入力","CSV可"))</f>
        <v/>
      </c>
      <c r="AJ38">
        <f>IF($A38="","",IF($A38="",1,0)+IF($B38="",1,0)+IF($C38="",1,0)+IF($D38="",1,0)+IF($E38="",1,0)+IF($F38="",1,0)+IF($G38="",1,0)+IF($H38="",1,0)+IF($I38="",1,0)+IF($L38="",1,0)+IF($M38="",1,0)+IF($N38="",1,0)+IF($O38="",1,0)+IF($Q38="",1,0)+IF($R38="",1,0)+IF($U38="",1,0)+IF($V38="",1,0)+IF($W38="",1,0)+IF($X38="",1,0)+IF($AG38="",1,0)+IF(AND($M38="通勤災害",$AF38=""),1,0)+IF(AND(OR($N38="8号（休業補償給付）",$N38="16号の6（通勤・休業）"),$AB38=""),1,0)+IF(AND(OR($N38="8号（休業補償給付）",$N38="16号の6（通勤・休業）"),$Y38=""),1,0)+IF(AND(OR($N38="8号（休業補償給付）",$N38="16号の6（通勤・休業）"),$AC38=""),1,0)+IF(AND($AD38="あり",$AE38=""),1,0))</f>
        <v/>
      </c>
    </row>
    <row r="39">
      <c r="A39" s="18" t="n"/>
      <c r="B39" s="18" t="n"/>
      <c r="C39" s="20" t="n"/>
      <c r="D39" s="45" t="n"/>
      <c r="E39" s="45" t="n"/>
      <c r="F39" s="45" t="n"/>
      <c r="G39" s="45" t="n"/>
      <c r="H39" s="18" t="n"/>
      <c r="I39" s="18" t="n"/>
      <c r="J39" s="18" t="n"/>
      <c r="K39" s="45" t="n"/>
      <c r="L39" s="18" t="n"/>
      <c r="M39" s="18" t="n"/>
      <c r="N39" s="18" t="n"/>
      <c r="O39" s="20" t="n"/>
      <c r="P39" s="18" t="n"/>
      <c r="Q39" s="18" t="n"/>
      <c r="R39" s="18" t="n"/>
      <c r="S39" s="18" t="n"/>
      <c r="T39" s="18" t="n"/>
      <c r="U39" s="18" t="n"/>
      <c r="V39" s="18" t="n"/>
      <c r="W39" s="20" t="n"/>
      <c r="X39" s="18" t="n"/>
      <c r="Y39" s="20" t="n"/>
      <c r="Z39" s="20" t="n"/>
      <c r="AA39" s="46" t="n"/>
      <c r="AB39" s="18" t="n"/>
      <c r="AC39" s="18" t="n"/>
      <c r="AD39" s="18" t="n"/>
      <c r="AE39" s="18" t="n"/>
      <c r="AF39" s="18" t="n"/>
      <c r="AG39" s="18" t="n"/>
      <c r="AH39" s="18" t="n"/>
      <c r="AI39" s="13">
        <f>IF($A39="","",IF(AJ39&gt;0,"未入力","CSV可"))</f>
        <v/>
      </c>
      <c r="AJ39">
        <f>IF($A39="","",IF($A39="",1,0)+IF($B39="",1,0)+IF($C39="",1,0)+IF($D39="",1,0)+IF($E39="",1,0)+IF($F39="",1,0)+IF($G39="",1,0)+IF($H39="",1,0)+IF($I39="",1,0)+IF($L39="",1,0)+IF($M39="",1,0)+IF($N39="",1,0)+IF($O39="",1,0)+IF($Q39="",1,0)+IF($R39="",1,0)+IF($U39="",1,0)+IF($V39="",1,0)+IF($W39="",1,0)+IF($X39="",1,0)+IF($AG39="",1,0)+IF(AND($M39="通勤災害",$AF39=""),1,0)+IF(AND(OR($N39="8号（休業補償給付）",$N39="16号の6（通勤・休業）"),$AB39=""),1,0)+IF(AND(OR($N39="8号（休業補償給付）",$N39="16号の6（通勤・休業）"),$Y39=""),1,0)+IF(AND(OR($N39="8号（休業補償給付）",$N39="16号の6（通勤・休業）"),$AC39=""),1,0)+IF(AND($AD39="あり",$AE39=""),1,0))</f>
        <v/>
      </c>
    </row>
    <row r="40">
      <c r="A40" s="18" t="n"/>
      <c r="B40" s="18" t="n"/>
      <c r="C40" s="20" t="n"/>
      <c r="D40" s="45" t="n"/>
      <c r="E40" s="45" t="n"/>
      <c r="F40" s="45" t="n"/>
      <c r="G40" s="45" t="n"/>
      <c r="H40" s="18" t="n"/>
      <c r="I40" s="18" t="n"/>
      <c r="J40" s="18" t="n"/>
      <c r="K40" s="45" t="n"/>
      <c r="L40" s="18" t="n"/>
      <c r="M40" s="18" t="n"/>
      <c r="N40" s="18" t="n"/>
      <c r="O40" s="20" t="n"/>
      <c r="P40" s="18" t="n"/>
      <c r="Q40" s="18" t="n"/>
      <c r="R40" s="18" t="n"/>
      <c r="S40" s="18" t="n"/>
      <c r="T40" s="18" t="n"/>
      <c r="U40" s="18" t="n"/>
      <c r="V40" s="18" t="n"/>
      <c r="W40" s="20" t="n"/>
      <c r="X40" s="18" t="n"/>
      <c r="Y40" s="20" t="n"/>
      <c r="Z40" s="20" t="n"/>
      <c r="AA40" s="46" t="n"/>
      <c r="AB40" s="18" t="n"/>
      <c r="AC40" s="18" t="n"/>
      <c r="AD40" s="18" t="n"/>
      <c r="AE40" s="18" t="n"/>
      <c r="AF40" s="18" t="n"/>
      <c r="AG40" s="18" t="n"/>
      <c r="AH40" s="18" t="n"/>
      <c r="AI40" s="13">
        <f>IF($A40="","",IF(AJ40&gt;0,"未入力","CSV可"))</f>
        <v/>
      </c>
      <c r="AJ40">
        <f>IF($A40="","",IF($A40="",1,0)+IF($B40="",1,0)+IF($C40="",1,0)+IF($D40="",1,0)+IF($E40="",1,0)+IF($F40="",1,0)+IF($G40="",1,0)+IF($H40="",1,0)+IF($I40="",1,0)+IF($L40="",1,0)+IF($M40="",1,0)+IF($N40="",1,0)+IF($O40="",1,0)+IF($Q40="",1,0)+IF($R40="",1,0)+IF($U40="",1,0)+IF($V40="",1,0)+IF($W40="",1,0)+IF($X40="",1,0)+IF($AG40="",1,0)+IF(AND($M40="通勤災害",$AF40=""),1,0)+IF(AND(OR($N40="8号（休業補償給付）",$N40="16号の6（通勤・休業）"),$AB40=""),1,0)+IF(AND(OR($N40="8号（休業補償給付）",$N40="16号の6（通勤・休業）"),$Y40=""),1,0)+IF(AND(OR($N40="8号（休業補償給付）",$N40="16号の6（通勤・休業）"),$AC40=""),1,0)+IF(AND($AD40="あり",$AE40=""),1,0))</f>
        <v/>
      </c>
    </row>
    <row r="41">
      <c r="A41" s="18" t="n"/>
      <c r="B41" s="18" t="n"/>
      <c r="C41" s="20" t="n"/>
      <c r="D41" s="45" t="n"/>
      <c r="E41" s="45" t="n"/>
      <c r="F41" s="45" t="n"/>
      <c r="G41" s="45" t="n"/>
      <c r="H41" s="18" t="n"/>
      <c r="I41" s="18" t="n"/>
      <c r="J41" s="18" t="n"/>
      <c r="K41" s="45" t="n"/>
      <c r="L41" s="18" t="n"/>
      <c r="M41" s="18" t="n"/>
      <c r="N41" s="18" t="n"/>
      <c r="O41" s="20" t="n"/>
      <c r="P41" s="18" t="n"/>
      <c r="Q41" s="18" t="n"/>
      <c r="R41" s="18" t="n"/>
      <c r="S41" s="18" t="n"/>
      <c r="T41" s="18" t="n"/>
      <c r="U41" s="18" t="n"/>
      <c r="V41" s="18" t="n"/>
      <c r="W41" s="20" t="n"/>
      <c r="X41" s="18" t="n"/>
      <c r="Y41" s="20" t="n"/>
      <c r="Z41" s="20" t="n"/>
      <c r="AA41" s="46" t="n"/>
      <c r="AB41" s="18" t="n"/>
      <c r="AC41" s="18" t="n"/>
      <c r="AD41" s="18" t="n"/>
      <c r="AE41" s="18" t="n"/>
      <c r="AF41" s="18" t="n"/>
      <c r="AG41" s="18" t="n"/>
      <c r="AH41" s="18" t="n"/>
      <c r="AI41" s="13">
        <f>IF($A41="","",IF(AJ41&gt;0,"未入力","CSV可"))</f>
        <v/>
      </c>
      <c r="AJ41">
        <f>IF($A41="","",IF($A41="",1,0)+IF($B41="",1,0)+IF($C41="",1,0)+IF($D41="",1,0)+IF($E41="",1,0)+IF($F41="",1,0)+IF($G41="",1,0)+IF($H41="",1,0)+IF($I41="",1,0)+IF($L41="",1,0)+IF($M41="",1,0)+IF($N41="",1,0)+IF($O41="",1,0)+IF($Q41="",1,0)+IF($R41="",1,0)+IF($U41="",1,0)+IF($V41="",1,0)+IF($W41="",1,0)+IF($X41="",1,0)+IF($AG41="",1,0)+IF(AND($M41="通勤災害",$AF41=""),1,0)+IF(AND(OR($N41="8号（休業補償給付）",$N41="16号の6（通勤・休業）"),$AB41=""),1,0)+IF(AND(OR($N41="8号（休業補償給付）",$N41="16号の6（通勤・休業）"),$Y41=""),1,0)+IF(AND(OR($N41="8号（休業補償給付）",$N41="16号の6（通勤・休業）"),$AC41=""),1,0)+IF(AND($AD41="あり",$AE41=""),1,0))</f>
        <v/>
      </c>
    </row>
    <row r="42">
      <c r="A42" s="18" t="n"/>
      <c r="B42" s="18" t="n"/>
      <c r="C42" s="20" t="n"/>
      <c r="D42" s="45" t="n"/>
      <c r="E42" s="45" t="n"/>
      <c r="F42" s="45" t="n"/>
      <c r="G42" s="45" t="n"/>
      <c r="H42" s="18" t="n"/>
      <c r="I42" s="18" t="n"/>
      <c r="J42" s="18" t="n"/>
      <c r="K42" s="45" t="n"/>
      <c r="L42" s="18" t="n"/>
      <c r="M42" s="18" t="n"/>
      <c r="N42" s="18" t="n"/>
      <c r="O42" s="20" t="n"/>
      <c r="P42" s="18" t="n"/>
      <c r="Q42" s="18" t="n"/>
      <c r="R42" s="18" t="n"/>
      <c r="S42" s="18" t="n"/>
      <c r="T42" s="18" t="n"/>
      <c r="U42" s="18" t="n"/>
      <c r="V42" s="18" t="n"/>
      <c r="W42" s="20" t="n"/>
      <c r="X42" s="18" t="n"/>
      <c r="Y42" s="20" t="n"/>
      <c r="Z42" s="20" t="n"/>
      <c r="AA42" s="46" t="n"/>
      <c r="AB42" s="18" t="n"/>
      <c r="AC42" s="18" t="n"/>
      <c r="AD42" s="18" t="n"/>
      <c r="AE42" s="18" t="n"/>
      <c r="AF42" s="18" t="n"/>
      <c r="AG42" s="18" t="n"/>
      <c r="AH42" s="18" t="n"/>
      <c r="AI42" s="13">
        <f>IF($A42="","",IF(AJ42&gt;0,"未入力","CSV可"))</f>
        <v/>
      </c>
      <c r="AJ42">
        <f>IF($A42="","",IF($A42="",1,0)+IF($B42="",1,0)+IF($C42="",1,0)+IF($D42="",1,0)+IF($E42="",1,0)+IF($F42="",1,0)+IF($G42="",1,0)+IF($H42="",1,0)+IF($I42="",1,0)+IF($L42="",1,0)+IF($M42="",1,0)+IF($N42="",1,0)+IF($O42="",1,0)+IF($Q42="",1,0)+IF($R42="",1,0)+IF($U42="",1,0)+IF($V42="",1,0)+IF($W42="",1,0)+IF($X42="",1,0)+IF($AG42="",1,0)+IF(AND($M42="通勤災害",$AF42=""),1,0)+IF(AND(OR($N42="8号（休業補償給付）",$N42="16号の6（通勤・休業）"),$AB42=""),1,0)+IF(AND(OR($N42="8号（休業補償給付）",$N42="16号の6（通勤・休業）"),$Y42=""),1,0)+IF(AND(OR($N42="8号（休業補償給付）",$N42="16号の6（通勤・休業）"),$AC42=""),1,0)+IF(AND($AD42="あり",$AE42=""),1,0))</f>
        <v/>
      </c>
    </row>
    <row r="43">
      <c r="A43" s="18" t="n"/>
      <c r="B43" s="18" t="n"/>
      <c r="C43" s="20" t="n"/>
      <c r="D43" s="45" t="n"/>
      <c r="E43" s="45" t="n"/>
      <c r="F43" s="45" t="n"/>
      <c r="G43" s="45" t="n"/>
      <c r="H43" s="18" t="n"/>
      <c r="I43" s="18" t="n"/>
      <c r="J43" s="18" t="n"/>
      <c r="K43" s="45" t="n"/>
      <c r="L43" s="18" t="n"/>
      <c r="M43" s="18" t="n"/>
      <c r="N43" s="18" t="n"/>
      <c r="O43" s="20" t="n"/>
      <c r="P43" s="18" t="n"/>
      <c r="Q43" s="18" t="n"/>
      <c r="R43" s="18" t="n"/>
      <c r="S43" s="18" t="n"/>
      <c r="T43" s="18" t="n"/>
      <c r="U43" s="18" t="n"/>
      <c r="V43" s="18" t="n"/>
      <c r="W43" s="20" t="n"/>
      <c r="X43" s="18" t="n"/>
      <c r="Y43" s="20" t="n"/>
      <c r="Z43" s="20" t="n"/>
      <c r="AA43" s="46" t="n"/>
      <c r="AB43" s="18" t="n"/>
      <c r="AC43" s="18" t="n"/>
      <c r="AD43" s="18" t="n"/>
      <c r="AE43" s="18" t="n"/>
      <c r="AF43" s="18" t="n"/>
      <c r="AG43" s="18" t="n"/>
      <c r="AH43" s="18" t="n"/>
      <c r="AI43" s="13">
        <f>IF($A43="","",IF(AJ43&gt;0,"未入力","CSV可"))</f>
        <v/>
      </c>
      <c r="AJ43">
        <f>IF($A43="","",IF($A43="",1,0)+IF($B43="",1,0)+IF($C43="",1,0)+IF($D43="",1,0)+IF($E43="",1,0)+IF($F43="",1,0)+IF($G43="",1,0)+IF($H43="",1,0)+IF($I43="",1,0)+IF($L43="",1,0)+IF($M43="",1,0)+IF($N43="",1,0)+IF($O43="",1,0)+IF($Q43="",1,0)+IF($R43="",1,0)+IF($U43="",1,0)+IF($V43="",1,0)+IF($W43="",1,0)+IF($X43="",1,0)+IF($AG43="",1,0)+IF(AND($M43="通勤災害",$AF43=""),1,0)+IF(AND(OR($N43="8号（休業補償給付）",$N43="16号の6（通勤・休業）"),$AB43=""),1,0)+IF(AND(OR($N43="8号（休業補償給付）",$N43="16号の6（通勤・休業）"),$Y43=""),1,0)+IF(AND(OR($N43="8号（休業補償給付）",$N43="16号の6（通勤・休業）"),$AC43=""),1,0)+IF(AND($AD43="あり",$AE43=""),1,0))</f>
        <v/>
      </c>
    </row>
    <row r="44">
      <c r="A44" s="18" t="n"/>
      <c r="B44" s="18" t="n"/>
      <c r="C44" s="20" t="n"/>
      <c r="D44" s="45" t="n"/>
      <c r="E44" s="45" t="n"/>
      <c r="F44" s="45" t="n"/>
      <c r="G44" s="45" t="n"/>
      <c r="H44" s="18" t="n"/>
      <c r="I44" s="18" t="n"/>
      <c r="J44" s="18" t="n"/>
      <c r="K44" s="45" t="n"/>
      <c r="L44" s="18" t="n"/>
      <c r="M44" s="18" t="n"/>
      <c r="N44" s="18" t="n"/>
      <c r="O44" s="20" t="n"/>
      <c r="P44" s="18" t="n"/>
      <c r="Q44" s="18" t="n"/>
      <c r="R44" s="18" t="n"/>
      <c r="S44" s="18" t="n"/>
      <c r="T44" s="18" t="n"/>
      <c r="U44" s="18" t="n"/>
      <c r="V44" s="18" t="n"/>
      <c r="W44" s="20" t="n"/>
      <c r="X44" s="18" t="n"/>
      <c r="Y44" s="20" t="n"/>
      <c r="Z44" s="20" t="n"/>
      <c r="AA44" s="46" t="n"/>
      <c r="AB44" s="18" t="n"/>
      <c r="AC44" s="18" t="n"/>
      <c r="AD44" s="18" t="n"/>
      <c r="AE44" s="18" t="n"/>
      <c r="AF44" s="18" t="n"/>
      <c r="AG44" s="18" t="n"/>
      <c r="AH44" s="18" t="n"/>
      <c r="AI44" s="13">
        <f>IF($A44="","",IF(AJ44&gt;0,"未入力","CSV可"))</f>
        <v/>
      </c>
      <c r="AJ44">
        <f>IF($A44="","",IF($A44="",1,0)+IF($B44="",1,0)+IF($C44="",1,0)+IF($D44="",1,0)+IF($E44="",1,0)+IF($F44="",1,0)+IF($G44="",1,0)+IF($H44="",1,0)+IF($I44="",1,0)+IF($L44="",1,0)+IF($M44="",1,0)+IF($N44="",1,0)+IF($O44="",1,0)+IF($Q44="",1,0)+IF($R44="",1,0)+IF($U44="",1,0)+IF($V44="",1,0)+IF($W44="",1,0)+IF($X44="",1,0)+IF($AG44="",1,0)+IF(AND($M44="通勤災害",$AF44=""),1,0)+IF(AND(OR($N44="8号（休業補償給付）",$N44="16号の6（通勤・休業）"),$AB44=""),1,0)+IF(AND(OR($N44="8号（休業補償給付）",$N44="16号の6（通勤・休業）"),$Y44=""),1,0)+IF(AND(OR($N44="8号（休業補償給付）",$N44="16号の6（通勤・休業）"),$AC44=""),1,0)+IF(AND($AD44="あり",$AE44=""),1,0))</f>
        <v/>
      </c>
    </row>
    <row r="45">
      <c r="A45" s="18" t="n"/>
      <c r="B45" s="18" t="n"/>
      <c r="C45" s="20" t="n"/>
      <c r="D45" s="45" t="n"/>
      <c r="E45" s="45" t="n"/>
      <c r="F45" s="45" t="n"/>
      <c r="G45" s="45" t="n"/>
      <c r="H45" s="18" t="n"/>
      <c r="I45" s="18" t="n"/>
      <c r="J45" s="18" t="n"/>
      <c r="K45" s="45" t="n"/>
      <c r="L45" s="18" t="n"/>
      <c r="M45" s="18" t="n"/>
      <c r="N45" s="18" t="n"/>
      <c r="O45" s="20" t="n"/>
      <c r="P45" s="18" t="n"/>
      <c r="Q45" s="18" t="n"/>
      <c r="R45" s="18" t="n"/>
      <c r="S45" s="18" t="n"/>
      <c r="T45" s="18" t="n"/>
      <c r="U45" s="18" t="n"/>
      <c r="V45" s="18" t="n"/>
      <c r="W45" s="20" t="n"/>
      <c r="X45" s="18" t="n"/>
      <c r="Y45" s="20" t="n"/>
      <c r="Z45" s="20" t="n"/>
      <c r="AA45" s="46" t="n"/>
      <c r="AB45" s="18" t="n"/>
      <c r="AC45" s="18" t="n"/>
      <c r="AD45" s="18" t="n"/>
      <c r="AE45" s="18" t="n"/>
      <c r="AF45" s="18" t="n"/>
      <c r="AG45" s="18" t="n"/>
      <c r="AH45" s="18" t="n"/>
      <c r="AI45" s="13">
        <f>IF($A45="","",IF(AJ45&gt;0,"未入力","CSV可"))</f>
        <v/>
      </c>
      <c r="AJ45">
        <f>IF($A45="","",IF($A45="",1,0)+IF($B45="",1,0)+IF($C45="",1,0)+IF($D45="",1,0)+IF($E45="",1,0)+IF($F45="",1,0)+IF($G45="",1,0)+IF($H45="",1,0)+IF($I45="",1,0)+IF($L45="",1,0)+IF($M45="",1,0)+IF($N45="",1,0)+IF($O45="",1,0)+IF($Q45="",1,0)+IF($R45="",1,0)+IF($U45="",1,0)+IF($V45="",1,0)+IF($W45="",1,0)+IF($X45="",1,0)+IF($AG45="",1,0)+IF(AND($M45="通勤災害",$AF45=""),1,0)+IF(AND(OR($N45="8号（休業補償給付）",$N45="16号の6（通勤・休業）"),$AB45=""),1,0)+IF(AND(OR($N45="8号（休業補償給付）",$N45="16号の6（通勤・休業）"),$Y45=""),1,0)+IF(AND(OR($N45="8号（休業補償給付）",$N45="16号の6（通勤・休業）"),$AC45=""),1,0)+IF(AND($AD45="あり",$AE45=""),1,0))</f>
        <v/>
      </c>
    </row>
    <row r="46">
      <c r="A46" s="18" t="n"/>
      <c r="B46" s="18" t="n"/>
      <c r="C46" s="20" t="n"/>
      <c r="D46" s="45" t="n"/>
      <c r="E46" s="45" t="n"/>
      <c r="F46" s="45" t="n"/>
      <c r="G46" s="45" t="n"/>
      <c r="H46" s="18" t="n"/>
      <c r="I46" s="18" t="n"/>
      <c r="J46" s="18" t="n"/>
      <c r="K46" s="45" t="n"/>
      <c r="L46" s="18" t="n"/>
      <c r="M46" s="18" t="n"/>
      <c r="N46" s="18" t="n"/>
      <c r="O46" s="20" t="n"/>
      <c r="P46" s="18" t="n"/>
      <c r="Q46" s="18" t="n"/>
      <c r="R46" s="18" t="n"/>
      <c r="S46" s="18" t="n"/>
      <c r="T46" s="18" t="n"/>
      <c r="U46" s="18" t="n"/>
      <c r="V46" s="18" t="n"/>
      <c r="W46" s="20" t="n"/>
      <c r="X46" s="18" t="n"/>
      <c r="Y46" s="20" t="n"/>
      <c r="Z46" s="20" t="n"/>
      <c r="AA46" s="46" t="n"/>
      <c r="AB46" s="18" t="n"/>
      <c r="AC46" s="18" t="n"/>
      <c r="AD46" s="18" t="n"/>
      <c r="AE46" s="18" t="n"/>
      <c r="AF46" s="18" t="n"/>
      <c r="AG46" s="18" t="n"/>
      <c r="AH46" s="18" t="n"/>
      <c r="AI46" s="13">
        <f>IF($A46="","",IF(AJ46&gt;0,"未入力","CSV可"))</f>
        <v/>
      </c>
      <c r="AJ46">
        <f>IF($A46="","",IF($A46="",1,0)+IF($B46="",1,0)+IF($C46="",1,0)+IF($D46="",1,0)+IF($E46="",1,0)+IF($F46="",1,0)+IF($G46="",1,0)+IF($H46="",1,0)+IF($I46="",1,0)+IF($L46="",1,0)+IF($M46="",1,0)+IF($N46="",1,0)+IF($O46="",1,0)+IF($Q46="",1,0)+IF($R46="",1,0)+IF($U46="",1,0)+IF($V46="",1,0)+IF($W46="",1,0)+IF($X46="",1,0)+IF($AG46="",1,0)+IF(AND($M46="通勤災害",$AF46=""),1,0)+IF(AND(OR($N46="8号（休業補償給付）",$N46="16号の6（通勤・休業）"),$AB46=""),1,0)+IF(AND(OR($N46="8号（休業補償給付）",$N46="16号の6（通勤・休業）"),$Y46=""),1,0)+IF(AND(OR($N46="8号（休業補償給付）",$N46="16号の6（通勤・休業）"),$AC46=""),1,0)+IF(AND($AD46="あり",$AE46=""),1,0))</f>
        <v/>
      </c>
    </row>
    <row r="47">
      <c r="A47" s="18" t="n"/>
      <c r="B47" s="18" t="n"/>
      <c r="C47" s="20" t="n"/>
      <c r="D47" s="45" t="n"/>
      <c r="E47" s="45" t="n"/>
      <c r="F47" s="45" t="n"/>
      <c r="G47" s="45" t="n"/>
      <c r="H47" s="18" t="n"/>
      <c r="I47" s="18" t="n"/>
      <c r="J47" s="18" t="n"/>
      <c r="K47" s="45" t="n"/>
      <c r="L47" s="18" t="n"/>
      <c r="M47" s="18" t="n"/>
      <c r="N47" s="18" t="n"/>
      <c r="O47" s="20" t="n"/>
      <c r="P47" s="18" t="n"/>
      <c r="Q47" s="18" t="n"/>
      <c r="R47" s="18" t="n"/>
      <c r="S47" s="18" t="n"/>
      <c r="T47" s="18" t="n"/>
      <c r="U47" s="18" t="n"/>
      <c r="V47" s="18" t="n"/>
      <c r="W47" s="20" t="n"/>
      <c r="X47" s="18" t="n"/>
      <c r="Y47" s="20" t="n"/>
      <c r="Z47" s="20" t="n"/>
      <c r="AA47" s="46" t="n"/>
      <c r="AB47" s="18" t="n"/>
      <c r="AC47" s="18" t="n"/>
      <c r="AD47" s="18" t="n"/>
      <c r="AE47" s="18" t="n"/>
      <c r="AF47" s="18" t="n"/>
      <c r="AG47" s="18" t="n"/>
      <c r="AH47" s="18" t="n"/>
      <c r="AI47" s="13">
        <f>IF($A47="","",IF(AJ47&gt;0,"未入力","CSV可"))</f>
        <v/>
      </c>
      <c r="AJ47">
        <f>IF($A47="","",IF($A47="",1,0)+IF($B47="",1,0)+IF($C47="",1,0)+IF($D47="",1,0)+IF($E47="",1,0)+IF($F47="",1,0)+IF($G47="",1,0)+IF($H47="",1,0)+IF($I47="",1,0)+IF($L47="",1,0)+IF($M47="",1,0)+IF($N47="",1,0)+IF($O47="",1,0)+IF($Q47="",1,0)+IF($R47="",1,0)+IF($U47="",1,0)+IF($V47="",1,0)+IF($W47="",1,0)+IF($X47="",1,0)+IF($AG47="",1,0)+IF(AND($M47="通勤災害",$AF47=""),1,0)+IF(AND(OR($N47="8号（休業補償給付）",$N47="16号の6（通勤・休業）"),$AB47=""),1,0)+IF(AND(OR($N47="8号（休業補償給付）",$N47="16号の6（通勤・休業）"),$Y47=""),1,0)+IF(AND(OR($N47="8号（休業補償給付）",$N47="16号の6（通勤・休業）"),$AC47=""),1,0)+IF(AND($AD47="あり",$AE47=""),1,0))</f>
        <v/>
      </c>
    </row>
    <row r="48">
      <c r="A48" s="18" t="n"/>
      <c r="B48" s="18" t="n"/>
      <c r="C48" s="20" t="n"/>
      <c r="D48" s="45" t="n"/>
      <c r="E48" s="45" t="n"/>
      <c r="F48" s="45" t="n"/>
      <c r="G48" s="45" t="n"/>
      <c r="H48" s="18" t="n"/>
      <c r="I48" s="18" t="n"/>
      <c r="J48" s="18" t="n"/>
      <c r="K48" s="45" t="n"/>
      <c r="L48" s="18" t="n"/>
      <c r="M48" s="18" t="n"/>
      <c r="N48" s="18" t="n"/>
      <c r="O48" s="20" t="n"/>
      <c r="P48" s="18" t="n"/>
      <c r="Q48" s="18" t="n"/>
      <c r="R48" s="18" t="n"/>
      <c r="S48" s="18" t="n"/>
      <c r="T48" s="18" t="n"/>
      <c r="U48" s="18" t="n"/>
      <c r="V48" s="18" t="n"/>
      <c r="W48" s="20" t="n"/>
      <c r="X48" s="18" t="n"/>
      <c r="Y48" s="20" t="n"/>
      <c r="Z48" s="20" t="n"/>
      <c r="AA48" s="46" t="n"/>
      <c r="AB48" s="18" t="n"/>
      <c r="AC48" s="18" t="n"/>
      <c r="AD48" s="18" t="n"/>
      <c r="AE48" s="18" t="n"/>
      <c r="AF48" s="18" t="n"/>
      <c r="AG48" s="18" t="n"/>
      <c r="AH48" s="18" t="n"/>
      <c r="AI48" s="13">
        <f>IF($A48="","",IF(AJ48&gt;0,"未入力","CSV可"))</f>
        <v/>
      </c>
      <c r="AJ48">
        <f>IF($A48="","",IF($A48="",1,0)+IF($B48="",1,0)+IF($C48="",1,0)+IF($D48="",1,0)+IF($E48="",1,0)+IF($F48="",1,0)+IF($G48="",1,0)+IF($H48="",1,0)+IF($I48="",1,0)+IF($L48="",1,0)+IF($M48="",1,0)+IF($N48="",1,0)+IF($O48="",1,0)+IF($Q48="",1,0)+IF($R48="",1,0)+IF($U48="",1,0)+IF($V48="",1,0)+IF($W48="",1,0)+IF($X48="",1,0)+IF($AG48="",1,0)+IF(AND($M48="通勤災害",$AF48=""),1,0)+IF(AND(OR($N48="8号（休業補償給付）",$N48="16号の6（通勤・休業）"),$AB48=""),1,0)+IF(AND(OR($N48="8号（休業補償給付）",$N48="16号の6（通勤・休業）"),$Y48=""),1,0)+IF(AND(OR($N48="8号（休業補償給付）",$N48="16号の6（通勤・休業）"),$AC48=""),1,0)+IF(AND($AD48="あり",$AE48=""),1,0))</f>
        <v/>
      </c>
    </row>
    <row r="49">
      <c r="A49" s="18" t="n"/>
      <c r="B49" s="18" t="n"/>
      <c r="C49" s="20" t="n"/>
      <c r="D49" s="45" t="n"/>
      <c r="E49" s="45" t="n"/>
      <c r="F49" s="45" t="n"/>
      <c r="G49" s="45" t="n"/>
      <c r="H49" s="18" t="n"/>
      <c r="I49" s="18" t="n"/>
      <c r="J49" s="18" t="n"/>
      <c r="K49" s="45" t="n"/>
      <c r="L49" s="18" t="n"/>
      <c r="M49" s="18" t="n"/>
      <c r="N49" s="18" t="n"/>
      <c r="O49" s="20" t="n"/>
      <c r="P49" s="18" t="n"/>
      <c r="Q49" s="18" t="n"/>
      <c r="R49" s="18" t="n"/>
      <c r="S49" s="18" t="n"/>
      <c r="T49" s="18" t="n"/>
      <c r="U49" s="18" t="n"/>
      <c r="V49" s="18" t="n"/>
      <c r="W49" s="20" t="n"/>
      <c r="X49" s="18" t="n"/>
      <c r="Y49" s="20" t="n"/>
      <c r="Z49" s="20" t="n"/>
      <c r="AA49" s="46" t="n"/>
      <c r="AB49" s="18" t="n"/>
      <c r="AC49" s="18" t="n"/>
      <c r="AD49" s="18" t="n"/>
      <c r="AE49" s="18" t="n"/>
      <c r="AF49" s="18" t="n"/>
      <c r="AG49" s="18" t="n"/>
      <c r="AH49" s="18" t="n"/>
      <c r="AI49" s="13">
        <f>IF($A49="","",IF(AJ49&gt;0,"未入力","CSV可"))</f>
        <v/>
      </c>
      <c r="AJ49">
        <f>IF($A49="","",IF($A49="",1,0)+IF($B49="",1,0)+IF($C49="",1,0)+IF($D49="",1,0)+IF($E49="",1,0)+IF($F49="",1,0)+IF($G49="",1,0)+IF($H49="",1,0)+IF($I49="",1,0)+IF($L49="",1,0)+IF($M49="",1,0)+IF($N49="",1,0)+IF($O49="",1,0)+IF($Q49="",1,0)+IF($R49="",1,0)+IF($U49="",1,0)+IF($V49="",1,0)+IF($W49="",1,0)+IF($X49="",1,0)+IF($AG49="",1,0)+IF(AND($M49="通勤災害",$AF49=""),1,0)+IF(AND(OR($N49="8号（休業補償給付）",$N49="16号の6（通勤・休業）"),$AB49=""),1,0)+IF(AND(OR($N49="8号（休業補償給付）",$N49="16号の6（通勤・休業）"),$Y49=""),1,0)+IF(AND(OR($N49="8号（休業補償給付）",$N49="16号の6（通勤・休業）"),$AC49=""),1,0)+IF(AND($AD49="あり",$AE49=""),1,0))</f>
        <v/>
      </c>
    </row>
    <row r="50">
      <c r="A50" s="18" t="n"/>
      <c r="B50" s="18" t="n"/>
      <c r="C50" s="20" t="n"/>
      <c r="D50" s="45" t="n"/>
      <c r="E50" s="45" t="n"/>
      <c r="F50" s="45" t="n"/>
      <c r="G50" s="45" t="n"/>
      <c r="H50" s="18" t="n"/>
      <c r="I50" s="18" t="n"/>
      <c r="J50" s="18" t="n"/>
      <c r="K50" s="45" t="n"/>
      <c r="L50" s="18" t="n"/>
      <c r="M50" s="18" t="n"/>
      <c r="N50" s="18" t="n"/>
      <c r="O50" s="20" t="n"/>
      <c r="P50" s="18" t="n"/>
      <c r="Q50" s="18" t="n"/>
      <c r="R50" s="18" t="n"/>
      <c r="S50" s="18" t="n"/>
      <c r="T50" s="18" t="n"/>
      <c r="U50" s="18" t="n"/>
      <c r="V50" s="18" t="n"/>
      <c r="W50" s="20" t="n"/>
      <c r="X50" s="18" t="n"/>
      <c r="Y50" s="20" t="n"/>
      <c r="Z50" s="20" t="n"/>
      <c r="AA50" s="46" t="n"/>
      <c r="AB50" s="18" t="n"/>
      <c r="AC50" s="18" t="n"/>
      <c r="AD50" s="18" t="n"/>
      <c r="AE50" s="18" t="n"/>
      <c r="AF50" s="18" t="n"/>
      <c r="AG50" s="18" t="n"/>
      <c r="AH50" s="18" t="n"/>
      <c r="AI50" s="13">
        <f>IF($A50="","",IF(AJ50&gt;0,"未入力","CSV可"))</f>
        <v/>
      </c>
      <c r="AJ50">
        <f>IF($A50="","",IF($A50="",1,0)+IF($B50="",1,0)+IF($C50="",1,0)+IF($D50="",1,0)+IF($E50="",1,0)+IF($F50="",1,0)+IF($G50="",1,0)+IF($H50="",1,0)+IF($I50="",1,0)+IF($L50="",1,0)+IF($M50="",1,0)+IF($N50="",1,0)+IF($O50="",1,0)+IF($Q50="",1,0)+IF($R50="",1,0)+IF($U50="",1,0)+IF($V50="",1,0)+IF($W50="",1,0)+IF($X50="",1,0)+IF($AG50="",1,0)+IF(AND($M50="通勤災害",$AF50=""),1,0)+IF(AND(OR($N50="8号（休業補償給付）",$N50="16号の6（通勤・休業）"),$AB50=""),1,0)+IF(AND(OR($N50="8号（休業補償給付）",$N50="16号の6（通勤・休業）"),$Y50=""),1,0)+IF(AND(OR($N50="8号（休業補償給付）",$N50="16号の6（通勤・休業）"),$AC50=""),1,0)+IF(AND($AD50="あり",$AE50=""),1,0))</f>
        <v/>
      </c>
    </row>
    <row r="51">
      <c r="A51" s="18" t="n"/>
      <c r="B51" s="18" t="n"/>
      <c r="C51" s="20" t="n"/>
      <c r="D51" s="45" t="n"/>
      <c r="E51" s="45" t="n"/>
      <c r="F51" s="45" t="n"/>
      <c r="G51" s="45" t="n"/>
      <c r="H51" s="18" t="n"/>
      <c r="I51" s="18" t="n"/>
      <c r="J51" s="18" t="n"/>
      <c r="K51" s="45" t="n"/>
      <c r="L51" s="18" t="n"/>
      <c r="M51" s="18" t="n"/>
      <c r="N51" s="18" t="n"/>
      <c r="O51" s="20" t="n"/>
      <c r="P51" s="18" t="n"/>
      <c r="Q51" s="18" t="n"/>
      <c r="R51" s="18" t="n"/>
      <c r="S51" s="18" t="n"/>
      <c r="T51" s="18" t="n"/>
      <c r="U51" s="18" t="n"/>
      <c r="V51" s="18" t="n"/>
      <c r="W51" s="20" t="n"/>
      <c r="X51" s="18" t="n"/>
      <c r="Y51" s="20" t="n"/>
      <c r="Z51" s="20" t="n"/>
      <c r="AA51" s="46" t="n"/>
      <c r="AB51" s="18" t="n"/>
      <c r="AC51" s="18" t="n"/>
      <c r="AD51" s="18" t="n"/>
      <c r="AE51" s="18" t="n"/>
      <c r="AF51" s="18" t="n"/>
      <c r="AG51" s="18" t="n"/>
      <c r="AH51" s="18" t="n"/>
      <c r="AI51" s="13">
        <f>IF($A51="","",IF(AJ51&gt;0,"未入力","CSV可"))</f>
        <v/>
      </c>
      <c r="AJ51">
        <f>IF($A51="","",IF($A51="",1,0)+IF($B51="",1,0)+IF($C51="",1,0)+IF($D51="",1,0)+IF($E51="",1,0)+IF($F51="",1,0)+IF($G51="",1,0)+IF($H51="",1,0)+IF($I51="",1,0)+IF($L51="",1,0)+IF($M51="",1,0)+IF($N51="",1,0)+IF($O51="",1,0)+IF($Q51="",1,0)+IF($R51="",1,0)+IF($U51="",1,0)+IF($V51="",1,0)+IF($W51="",1,0)+IF($X51="",1,0)+IF($AG51="",1,0)+IF(AND($M51="通勤災害",$AF51=""),1,0)+IF(AND(OR($N51="8号（休業補償給付）",$N51="16号の6（通勤・休業）"),$AB51=""),1,0)+IF(AND(OR($N51="8号（休業補償給付）",$N51="16号の6（通勤・休業）"),$Y51=""),1,0)+IF(AND(OR($N51="8号（休業補償給付）",$N51="16号の6（通勤・休業）"),$AC51=""),1,0)+IF(AND($AD51="あり",$AE51=""),1,0))</f>
        <v/>
      </c>
    </row>
    <row r="52">
      <c r="A52" s="18" t="n"/>
      <c r="B52" s="18" t="n"/>
      <c r="C52" s="20" t="n"/>
      <c r="D52" s="45" t="n"/>
      <c r="E52" s="45" t="n"/>
      <c r="F52" s="45" t="n"/>
      <c r="G52" s="45" t="n"/>
      <c r="H52" s="18" t="n"/>
      <c r="I52" s="18" t="n"/>
      <c r="J52" s="18" t="n"/>
      <c r="K52" s="45" t="n"/>
      <c r="L52" s="18" t="n"/>
      <c r="M52" s="18" t="n"/>
      <c r="N52" s="18" t="n"/>
      <c r="O52" s="20" t="n"/>
      <c r="P52" s="18" t="n"/>
      <c r="Q52" s="18" t="n"/>
      <c r="R52" s="18" t="n"/>
      <c r="S52" s="18" t="n"/>
      <c r="T52" s="18" t="n"/>
      <c r="U52" s="18" t="n"/>
      <c r="V52" s="18" t="n"/>
      <c r="W52" s="20" t="n"/>
      <c r="X52" s="18" t="n"/>
      <c r="Y52" s="20" t="n"/>
      <c r="Z52" s="20" t="n"/>
      <c r="AA52" s="46" t="n"/>
      <c r="AB52" s="18" t="n"/>
      <c r="AC52" s="18" t="n"/>
      <c r="AD52" s="18" t="n"/>
      <c r="AE52" s="18" t="n"/>
      <c r="AF52" s="18" t="n"/>
      <c r="AG52" s="18" t="n"/>
      <c r="AH52" s="18" t="n"/>
      <c r="AI52" s="13">
        <f>IF($A52="","",IF(AJ52&gt;0,"未入力","CSV可"))</f>
        <v/>
      </c>
      <c r="AJ52">
        <f>IF($A52="","",IF($A52="",1,0)+IF($B52="",1,0)+IF($C52="",1,0)+IF($D52="",1,0)+IF($E52="",1,0)+IF($F52="",1,0)+IF($G52="",1,0)+IF($H52="",1,0)+IF($I52="",1,0)+IF($L52="",1,0)+IF($M52="",1,0)+IF($N52="",1,0)+IF($O52="",1,0)+IF($Q52="",1,0)+IF($R52="",1,0)+IF($U52="",1,0)+IF($V52="",1,0)+IF($W52="",1,0)+IF($X52="",1,0)+IF($AG52="",1,0)+IF(AND($M52="通勤災害",$AF52=""),1,0)+IF(AND(OR($N52="8号（休業補償給付）",$N52="16号の6（通勤・休業）"),$AB52=""),1,0)+IF(AND(OR($N52="8号（休業補償給付）",$N52="16号の6（通勤・休業）"),$Y52=""),1,0)+IF(AND(OR($N52="8号（休業補償給付）",$N52="16号の6（通勤・休業）"),$AC52=""),1,0)+IF(AND($AD52="あり",$AE52=""),1,0))</f>
        <v/>
      </c>
    </row>
    <row r="53">
      <c r="A53" s="18" t="n"/>
      <c r="B53" s="18" t="n"/>
      <c r="C53" s="20" t="n"/>
      <c r="D53" s="45" t="n"/>
      <c r="E53" s="45" t="n"/>
      <c r="F53" s="45" t="n"/>
      <c r="G53" s="45" t="n"/>
      <c r="H53" s="18" t="n"/>
      <c r="I53" s="18" t="n"/>
      <c r="J53" s="18" t="n"/>
      <c r="K53" s="45" t="n"/>
      <c r="L53" s="18" t="n"/>
      <c r="M53" s="18" t="n"/>
      <c r="N53" s="18" t="n"/>
      <c r="O53" s="20" t="n"/>
      <c r="P53" s="18" t="n"/>
      <c r="Q53" s="18" t="n"/>
      <c r="R53" s="18" t="n"/>
      <c r="S53" s="18" t="n"/>
      <c r="T53" s="18" t="n"/>
      <c r="U53" s="18" t="n"/>
      <c r="V53" s="18" t="n"/>
      <c r="W53" s="20" t="n"/>
      <c r="X53" s="18" t="n"/>
      <c r="Y53" s="20" t="n"/>
      <c r="Z53" s="20" t="n"/>
      <c r="AA53" s="46" t="n"/>
      <c r="AB53" s="18" t="n"/>
      <c r="AC53" s="18" t="n"/>
      <c r="AD53" s="18" t="n"/>
      <c r="AE53" s="18" t="n"/>
      <c r="AF53" s="18" t="n"/>
      <c r="AG53" s="18" t="n"/>
      <c r="AH53" s="18" t="n"/>
      <c r="AI53" s="13">
        <f>IF($A53="","",IF(AJ53&gt;0,"未入力","CSV可"))</f>
        <v/>
      </c>
      <c r="AJ53">
        <f>IF($A53="","",IF($A53="",1,0)+IF($B53="",1,0)+IF($C53="",1,0)+IF($D53="",1,0)+IF($E53="",1,0)+IF($F53="",1,0)+IF($G53="",1,0)+IF($H53="",1,0)+IF($I53="",1,0)+IF($L53="",1,0)+IF($M53="",1,0)+IF($N53="",1,0)+IF($O53="",1,0)+IF($Q53="",1,0)+IF($R53="",1,0)+IF($U53="",1,0)+IF($V53="",1,0)+IF($W53="",1,0)+IF($X53="",1,0)+IF($AG53="",1,0)+IF(AND($M53="通勤災害",$AF53=""),1,0)+IF(AND(OR($N53="8号（休業補償給付）",$N53="16号の6（通勤・休業）"),$AB53=""),1,0)+IF(AND(OR($N53="8号（休業補償給付）",$N53="16号の6（通勤・休業）"),$Y53=""),1,0)+IF(AND(OR($N53="8号（休業補償給付）",$N53="16号の6（通勤・休業）"),$AC53=""),1,0)+IF(AND($AD53="あり",$AE53=""),1,0))</f>
        <v/>
      </c>
    </row>
    <row r="54">
      <c r="A54" s="18" t="n"/>
      <c r="B54" s="18" t="n"/>
      <c r="C54" s="20" t="n"/>
      <c r="D54" s="45" t="n"/>
      <c r="E54" s="45" t="n"/>
      <c r="F54" s="45" t="n"/>
      <c r="G54" s="45" t="n"/>
      <c r="H54" s="18" t="n"/>
      <c r="I54" s="18" t="n"/>
      <c r="J54" s="18" t="n"/>
      <c r="K54" s="45" t="n"/>
      <c r="L54" s="18" t="n"/>
      <c r="M54" s="18" t="n"/>
      <c r="N54" s="18" t="n"/>
      <c r="O54" s="20" t="n"/>
      <c r="P54" s="18" t="n"/>
      <c r="Q54" s="18" t="n"/>
      <c r="R54" s="18" t="n"/>
      <c r="S54" s="18" t="n"/>
      <c r="T54" s="18" t="n"/>
      <c r="U54" s="18" t="n"/>
      <c r="V54" s="18" t="n"/>
      <c r="W54" s="20" t="n"/>
      <c r="X54" s="18" t="n"/>
      <c r="Y54" s="20" t="n"/>
      <c r="Z54" s="20" t="n"/>
      <c r="AA54" s="46" t="n"/>
      <c r="AB54" s="18" t="n"/>
      <c r="AC54" s="18" t="n"/>
      <c r="AD54" s="18" t="n"/>
      <c r="AE54" s="18" t="n"/>
      <c r="AF54" s="18" t="n"/>
      <c r="AG54" s="18" t="n"/>
      <c r="AH54" s="18" t="n"/>
      <c r="AI54" s="13">
        <f>IF($A54="","",IF(AJ54&gt;0,"未入力","CSV可"))</f>
        <v/>
      </c>
      <c r="AJ54">
        <f>IF($A54="","",IF($A54="",1,0)+IF($B54="",1,0)+IF($C54="",1,0)+IF($D54="",1,0)+IF($E54="",1,0)+IF($F54="",1,0)+IF($G54="",1,0)+IF($H54="",1,0)+IF($I54="",1,0)+IF($L54="",1,0)+IF($M54="",1,0)+IF($N54="",1,0)+IF($O54="",1,0)+IF($Q54="",1,0)+IF($R54="",1,0)+IF($U54="",1,0)+IF($V54="",1,0)+IF($W54="",1,0)+IF($X54="",1,0)+IF($AG54="",1,0)+IF(AND($M54="通勤災害",$AF54=""),1,0)+IF(AND(OR($N54="8号（休業補償給付）",$N54="16号の6（通勤・休業）"),$AB54=""),1,0)+IF(AND(OR($N54="8号（休業補償給付）",$N54="16号の6（通勤・休業）"),$Y54=""),1,0)+IF(AND(OR($N54="8号（休業補償給付）",$N54="16号の6（通勤・休業）"),$AC54=""),1,0)+IF(AND($AD54="あり",$AE54=""),1,0))</f>
        <v/>
      </c>
    </row>
    <row r="55">
      <c r="A55" s="18" t="n"/>
      <c r="B55" s="18" t="n"/>
      <c r="C55" s="20" t="n"/>
      <c r="D55" s="45" t="n"/>
      <c r="E55" s="45" t="n"/>
      <c r="F55" s="45" t="n"/>
      <c r="G55" s="45" t="n"/>
      <c r="H55" s="18" t="n"/>
      <c r="I55" s="18" t="n"/>
      <c r="J55" s="18" t="n"/>
      <c r="K55" s="45" t="n"/>
      <c r="L55" s="18" t="n"/>
      <c r="M55" s="18" t="n"/>
      <c r="N55" s="18" t="n"/>
      <c r="O55" s="20" t="n"/>
      <c r="P55" s="18" t="n"/>
      <c r="Q55" s="18" t="n"/>
      <c r="R55" s="18" t="n"/>
      <c r="S55" s="18" t="n"/>
      <c r="T55" s="18" t="n"/>
      <c r="U55" s="18" t="n"/>
      <c r="V55" s="18" t="n"/>
      <c r="W55" s="20" t="n"/>
      <c r="X55" s="18" t="n"/>
      <c r="Y55" s="20" t="n"/>
      <c r="Z55" s="20" t="n"/>
      <c r="AA55" s="46" t="n"/>
      <c r="AB55" s="18" t="n"/>
      <c r="AC55" s="18" t="n"/>
      <c r="AD55" s="18" t="n"/>
      <c r="AE55" s="18" t="n"/>
      <c r="AF55" s="18" t="n"/>
      <c r="AG55" s="18" t="n"/>
      <c r="AH55" s="18" t="n"/>
      <c r="AI55" s="13">
        <f>IF($A55="","",IF(AJ55&gt;0,"未入力","CSV可"))</f>
        <v/>
      </c>
      <c r="AJ55">
        <f>IF($A55="","",IF($A55="",1,0)+IF($B55="",1,0)+IF($C55="",1,0)+IF($D55="",1,0)+IF($E55="",1,0)+IF($F55="",1,0)+IF($G55="",1,0)+IF($H55="",1,0)+IF($I55="",1,0)+IF($L55="",1,0)+IF($M55="",1,0)+IF($N55="",1,0)+IF($O55="",1,0)+IF($Q55="",1,0)+IF($R55="",1,0)+IF($U55="",1,0)+IF($V55="",1,0)+IF($W55="",1,0)+IF($X55="",1,0)+IF($AG55="",1,0)+IF(AND($M55="通勤災害",$AF55=""),1,0)+IF(AND(OR($N55="8号（休業補償給付）",$N55="16号の6（通勤・休業）"),$AB55=""),1,0)+IF(AND(OR($N55="8号（休業補償給付）",$N55="16号の6（通勤・休業）"),$Y55=""),1,0)+IF(AND(OR($N55="8号（休業補償給付）",$N55="16号の6（通勤・休業）"),$AC55=""),1,0)+IF(AND($AD55="あり",$AE55=""),1,0))</f>
        <v/>
      </c>
    </row>
    <row r="56">
      <c r="A56" s="18" t="n"/>
      <c r="B56" s="18" t="n"/>
      <c r="C56" s="20" t="n"/>
      <c r="D56" s="45" t="n"/>
      <c r="E56" s="45" t="n"/>
      <c r="F56" s="45" t="n"/>
      <c r="G56" s="45" t="n"/>
      <c r="H56" s="18" t="n"/>
      <c r="I56" s="18" t="n"/>
      <c r="J56" s="18" t="n"/>
      <c r="K56" s="45" t="n"/>
      <c r="L56" s="18" t="n"/>
      <c r="M56" s="18" t="n"/>
      <c r="N56" s="18" t="n"/>
      <c r="O56" s="20" t="n"/>
      <c r="P56" s="18" t="n"/>
      <c r="Q56" s="18" t="n"/>
      <c r="R56" s="18" t="n"/>
      <c r="S56" s="18" t="n"/>
      <c r="T56" s="18" t="n"/>
      <c r="U56" s="18" t="n"/>
      <c r="V56" s="18" t="n"/>
      <c r="W56" s="20" t="n"/>
      <c r="X56" s="18" t="n"/>
      <c r="Y56" s="20" t="n"/>
      <c r="Z56" s="20" t="n"/>
      <c r="AA56" s="46" t="n"/>
      <c r="AB56" s="18" t="n"/>
      <c r="AC56" s="18" t="n"/>
      <c r="AD56" s="18" t="n"/>
      <c r="AE56" s="18" t="n"/>
      <c r="AF56" s="18" t="n"/>
      <c r="AG56" s="18" t="n"/>
      <c r="AH56" s="18" t="n"/>
      <c r="AI56" s="13">
        <f>IF($A56="","",IF(AJ56&gt;0,"未入力","CSV可"))</f>
        <v/>
      </c>
      <c r="AJ56">
        <f>IF($A56="","",IF($A56="",1,0)+IF($B56="",1,0)+IF($C56="",1,0)+IF($D56="",1,0)+IF($E56="",1,0)+IF($F56="",1,0)+IF($G56="",1,0)+IF($H56="",1,0)+IF($I56="",1,0)+IF($L56="",1,0)+IF($M56="",1,0)+IF($N56="",1,0)+IF($O56="",1,0)+IF($Q56="",1,0)+IF($R56="",1,0)+IF($U56="",1,0)+IF($V56="",1,0)+IF($W56="",1,0)+IF($X56="",1,0)+IF($AG56="",1,0)+IF(AND($M56="通勤災害",$AF56=""),1,0)+IF(AND(OR($N56="8号（休業補償給付）",$N56="16号の6（通勤・休業）"),$AB56=""),1,0)+IF(AND(OR($N56="8号（休業補償給付）",$N56="16号の6（通勤・休業）"),$Y56=""),1,0)+IF(AND(OR($N56="8号（休業補償給付）",$N56="16号の6（通勤・休業）"),$AC56=""),1,0)+IF(AND($AD56="あり",$AE56=""),1,0))</f>
        <v/>
      </c>
    </row>
    <row r="57">
      <c r="A57" s="18" t="n"/>
      <c r="B57" s="18" t="n"/>
      <c r="C57" s="20" t="n"/>
      <c r="D57" s="45" t="n"/>
      <c r="E57" s="45" t="n"/>
      <c r="F57" s="45" t="n"/>
      <c r="G57" s="45" t="n"/>
      <c r="H57" s="18" t="n"/>
      <c r="I57" s="18" t="n"/>
      <c r="J57" s="18" t="n"/>
      <c r="K57" s="45" t="n"/>
      <c r="L57" s="18" t="n"/>
      <c r="M57" s="18" t="n"/>
      <c r="N57" s="18" t="n"/>
      <c r="O57" s="20" t="n"/>
      <c r="P57" s="18" t="n"/>
      <c r="Q57" s="18" t="n"/>
      <c r="R57" s="18" t="n"/>
      <c r="S57" s="18" t="n"/>
      <c r="T57" s="18" t="n"/>
      <c r="U57" s="18" t="n"/>
      <c r="V57" s="18" t="n"/>
      <c r="W57" s="20" t="n"/>
      <c r="X57" s="18" t="n"/>
      <c r="Y57" s="20" t="n"/>
      <c r="Z57" s="20" t="n"/>
      <c r="AA57" s="46" t="n"/>
      <c r="AB57" s="18" t="n"/>
      <c r="AC57" s="18" t="n"/>
      <c r="AD57" s="18" t="n"/>
      <c r="AE57" s="18" t="n"/>
      <c r="AF57" s="18" t="n"/>
      <c r="AG57" s="18" t="n"/>
      <c r="AH57" s="18" t="n"/>
      <c r="AI57" s="13">
        <f>IF($A57="","",IF(AJ57&gt;0,"未入力","CSV可"))</f>
        <v/>
      </c>
      <c r="AJ57">
        <f>IF($A57="","",IF($A57="",1,0)+IF($B57="",1,0)+IF($C57="",1,0)+IF($D57="",1,0)+IF($E57="",1,0)+IF($F57="",1,0)+IF($G57="",1,0)+IF($H57="",1,0)+IF($I57="",1,0)+IF($L57="",1,0)+IF($M57="",1,0)+IF($N57="",1,0)+IF($O57="",1,0)+IF($Q57="",1,0)+IF($R57="",1,0)+IF($U57="",1,0)+IF($V57="",1,0)+IF($W57="",1,0)+IF($X57="",1,0)+IF($AG57="",1,0)+IF(AND($M57="通勤災害",$AF57=""),1,0)+IF(AND(OR($N57="8号（休業補償給付）",$N57="16号の6（通勤・休業）"),$AB57=""),1,0)+IF(AND(OR($N57="8号（休業補償給付）",$N57="16号の6（通勤・休業）"),$Y57=""),1,0)+IF(AND(OR($N57="8号（休業補償給付）",$N57="16号の6（通勤・休業）"),$AC57=""),1,0)+IF(AND($AD57="あり",$AE57=""),1,0))</f>
        <v/>
      </c>
    </row>
    <row r="58">
      <c r="A58" s="18" t="n"/>
      <c r="B58" s="18" t="n"/>
      <c r="C58" s="20" t="n"/>
      <c r="D58" s="45" t="n"/>
      <c r="E58" s="45" t="n"/>
      <c r="F58" s="45" t="n"/>
      <c r="G58" s="45" t="n"/>
      <c r="H58" s="18" t="n"/>
      <c r="I58" s="18" t="n"/>
      <c r="J58" s="18" t="n"/>
      <c r="K58" s="45" t="n"/>
      <c r="L58" s="18" t="n"/>
      <c r="M58" s="18" t="n"/>
      <c r="N58" s="18" t="n"/>
      <c r="O58" s="20" t="n"/>
      <c r="P58" s="18" t="n"/>
      <c r="Q58" s="18" t="n"/>
      <c r="R58" s="18" t="n"/>
      <c r="S58" s="18" t="n"/>
      <c r="T58" s="18" t="n"/>
      <c r="U58" s="18" t="n"/>
      <c r="V58" s="18" t="n"/>
      <c r="W58" s="20" t="n"/>
      <c r="X58" s="18" t="n"/>
      <c r="Y58" s="20" t="n"/>
      <c r="Z58" s="20" t="n"/>
      <c r="AA58" s="46" t="n"/>
      <c r="AB58" s="18" t="n"/>
      <c r="AC58" s="18" t="n"/>
      <c r="AD58" s="18" t="n"/>
      <c r="AE58" s="18" t="n"/>
      <c r="AF58" s="18" t="n"/>
      <c r="AG58" s="18" t="n"/>
      <c r="AH58" s="18" t="n"/>
      <c r="AI58" s="13">
        <f>IF($A58="","",IF(AJ58&gt;0,"未入力","CSV可"))</f>
        <v/>
      </c>
      <c r="AJ58">
        <f>IF($A58="","",IF($A58="",1,0)+IF($B58="",1,0)+IF($C58="",1,0)+IF($D58="",1,0)+IF($E58="",1,0)+IF($F58="",1,0)+IF($G58="",1,0)+IF($H58="",1,0)+IF($I58="",1,0)+IF($L58="",1,0)+IF($M58="",1,0)+IF($N58="",1,0)+IF($O58="",1,0)+IF($Q58="",1,0)+IF($R58="",1,0)+IF($U58="",1,0)+IF($V58="",1,0)+IF($W58="",1,0)+IF($X58="",1,0)+IF($AG58="",1,0)+IF(AND($M58="通勤災害",$AF58=""),1,0)+IF(AND(OR($N58="8号（休業補償給付）",$N58="16号の6（通勤・休業）"),$AB58=""),1,0)+IF(AND(OR($N58="8号（休業補償給付）",$N58="16号の6（通勤・休業）"),$Y58=""),1,0)+IF(AND(OR($N58="8号（休業補償給付）",$N58="16号の6（通勤・休業）"),$AC58=""),1,0)+IF(AND($AD58="あり",$AE58=""),1,0))</f>
        <v/>
      </c>
    </row>
  </sheetData>
  <mergeCells count="19">
    <mergeCell ref="R1:AH1"/>
    <mergeCell ref="A1:Q1"/>
    <mergeCell ref="C4:D4"/>
    <mergeCell ref="E4:F4"/>
    <mergeCell ref="A5:L5"/>
    <mergeCell ref="U6:X6"/>
    <mergeCell ref="A3:B3"/>
    <mergeCell ref="G3:H3"/>
    <mergeCell ref="M6:N6"/>
    <mergeCell ref="AG6"/>
    <mergeCell ref="A4:B4"/>
    <mergeCell ref="G4:H4"/>
    <mergeCell ref="AF6"/>
    <mergeCell ref="O6:T6"/>
    <mergeCell ref="A6:L6"/>
    <mergeCell ref="AH6"/>
    <mergeCell ref="Y6:AE6"/>
    <mergeCell ref="C3:D3"/>
    <mergeCell ref="E3:F3"/>
  </mergeCells>
  <conditionalFormatting sqref="G4">
    <cfRule type="dataBar" priority="1">
      <dataBar showValue="1">
        <cfvo type="num" val="0"/>
        <cfvo type="num" val="1"/>
        <color rgb="0063C384"/>
      </dataBar>
    </cfRule>
  </conditionalFormatting>
  <conditionalFormatting sqref="A5">
    <cfRule type="expression" priority="2" dxfId="0" stopIfTrue="1">
      <formula>ISNUMBER(SEARCH("未入力はありません",A5))</formula>
    </cfRule>
    <cfRule type="expression" priority="3" dxfId="1" stopIfTrue="1">
      <formula>ISNUMBER(SEARCH("未入力が",A5))</formula>
    </cfRule>
    <cfRule type="expression" priority="4" dxfId="2" stopIfTrue="1">
      <formula>ISNUMBER(SEARCH("式の入っていない",A5))</formula>
    </cfRule>
  </conditionalFormatting>
  <conditionalFormatting sqref="B9:B58">
    <cfRule type="expression" priority="5" dxfId="2" stopIfTrue="1">
      <formula>AND($A9&lt;&gt;"",B9="")</formula>
    </cfRule>
    <cfRule type="expression" priority="42" dxfId="1" stopIfTrue="1">
      <formula>AND(B9&lt;&gt;"",LENB(B9)&lt;&gt;LEN(B9)*2)</formula>
    </cfRule>
    <cfRule type="expression" priority="43" dxfId="1" stopIfTrue="1">
      <formula>AND(B9&lt;&gt;"",ISERROR(FIND("　",B9)),ISERROR(FIND(" ",B9)))</formula>
    </cfRule>
  </conditionalFormatting>
  <conditionalFormatting sqref="C9:C58">
    <cfRule type="expression" priority="6" dxfId="2" stopIfTrue="1">
      <formula>AND($A9&lt;&gt;"",C9="")</formula>
    </cfRule>
    <cfRule type="expression" priority="44" dxfId="1" stopIfTrue="1">
      <formula>AND(ISNUMBER(C9),C9&gt;80000)</formula>
    </cfRule>
  </conditionalFormatting>
  <conditionalFormatting sqref="D9:D58">
    <cfRule type="expression" priority="7" dxfId="2" stopIfTrue="1">
      <formula>AND($A9&lt;&gt;"",D9="")</formula>
    </cfRule>
    <cfRule type="expression" priority="35" dxfId="1" stopIfTrue="1">
      <formula>AND(D9&lt;&gt;"",D9&lt;&gt;"後日提出",D9&lt;&gt;"別経路提出",LEN(D9)&lt;&gt;12)</formula>
    </cfRule>
    <cfRule type="expression" priority="45" dxfId="1" stopIfTrue="1">
      <formula>AND(D9&lt;&gt;"",D9&lt;&gt;"後日提出",D9&lt;&gt;"別経路提出",LENB(D9)&lt;&gt;LEN(D9))</formula>
    </cfRule>
  </conditionalFormatting>
  <conditionalFormatting sqref="E9:E58">
    <cfRule type="expression" priority="8" dxfId="2" stopIfTrue="1">
      <formula>AND($A9&lt;&gt;"",E9="")</formula>
    </cfRule>
    <cfRule type="expression" priority="36" dxfId="1" stopIfTrue="1">
      <formula>AND(E9&lt;&gt;"",E9&lt;&gt;"後日提出",LEN(E9)&lt;&gt;10)</formula>
    </cfRule>
    <cfRule type="expression" priority="46" dxfId="1" stopIfTrue="1">
      <formula>AND(E9&lt;&gt;"",E9&lt;&gt;"後日提出",LENB(E9)&lt;&gt;LEN(E9))</formula>
    </cfRule>
  </conditionalFormatting>
  <conditionalFormatting sqref="F9:F58">
    <cfRule type="expression" priority="9" dxfId="2" stopIfTrue="1">
      <formula>AND($A9&lt;&gt;"",F9="")</formula>
    </cfRule>
    <cfRule type="expression" priority="37" dxfId="1" stopIfTrue="1">
      <formula>AND(F9&lt;&gt;"",F9&lt;&gt;"後日提出",F9&lt;&gt;"なし",LEN(F9)&lt;&gt;11)</formula>
    </cfRule>
    <cfRule type="expression" priority="47" dxfId="1" stopIfTrue="1">
      <formula>AND(F9&lt;&gt;"",F9&lt;&gt;"後日提出",F9&lt;&gt;"なし",LENB(F9)&lt;&gt;LEN(F9))</formula>
    </cfRule>
  </conditionalFormatting>
  <conditionalFormatting sqref="G9:G58">
    <cfRule type="expression" priority="10" dxfId="2" stopIfTrue="1">
      <formula>AND($A9&lt;&gt;"",G9="")</formula>
    </cfRule>
    <cfRule type="expression" priority="38" dxfId="1" stopIfTrue="1">
      <formula>AND(G9&lt;&gt;"",LEN(SUBSTITUTE(G9,"-",""))&lt;&gt;7)</formula>
    </cfRule>
    <cfRule type="expression" priority="48" dxfId="1" stopIfTrue="1">
      <formula>AND(G9&lt;&gt;"",LENB(G9)&lt;&gt;LEN(G9))</formula>
    </cfRule>
  </conditionalFormatting>
  <conditionalFormatting sqref="H9:H58">
    <cfRule type="expression" priority="11" dxfId="2" stopIfTrue="1">
      <formula>AND($A9&lt;&gt;"",H9="")</formula>
    </cfRule>
  </conditionalFormatting>
  <conditionalFormatting sqref="I9:I58">
    <cfRule type="expression" priority="12" dxfId="2" stopIfTrue="1">
      <formula>AND($A9&lt;&gt;"",I9="")</formula>
    </cfRule>
    <cfRule type="expression" priority="49" dxfId="1" stopIfTrue="1">
      <formula>AND(I9&lt;&gt;"",LENB(I9)&lt;&gt;LEN(I9)*2)</formula>
    </cfRule>
  </conditionalFormatting>
  <conditionalFormatting sqref="L9:L58">
    <cfRule type="expression" priority="13" dxfId="2" stopIfTrue="1">
      <formula>AND($A9&lt;&gt;"",L9="")</formula>
    </cfRule>
  </conditionalFormatting>
  <conditionalFormatting sqref="M9:M58">
    <cfRule type="expression" priority="14" dxfId="2" stopIfTrue="1">
      <formula>AND($A9&lt;&gt;"",M9="")</formula>
    </cfRule>
  </conditionalFormatting>
  <conditionalFormatting sqref="N9:N58">
    <cfRule type="expression" priority="15" dxfId="2" stopIfTrue="1">
      <formula>AND($A9&lt;&gt;"",N9="")</formula>
    </cfRule>
  </conditionalFormatting>
  <conditionalFormatting sqref="O9:O58">
    <cfRule type="expression" priority="16" dxfId="2" stopIfTrue="1">
      <formula>AND($A9&lt;&gt;"",O9="")</formula>
    </cfRule>
    <cfRule type="expression" priority="52" dxfId="1" stopIfTrue="1">
      <formula>AND(ISNUMBER(O9),O9&gt;80000)</formula>
    </cfRule>
  </conditionalFormatting>
  <conditionalFormatting sqref="Q9:Q58">
    <cfRule type="expression" priority="17" dxfId="2" stopIfTrue="1">
      <formula>AND($A9&lt;&gt;"",Q9="")</formula>
    </cfRule>
  </conditionalFormatting>
  <conditionalFormatting sqref="R9:R58">
    <cfRule type="expression" priority="18" dxfId="2" stopIfTrue="1">
      <formula>AND($A9&lt;&gt;"",R9="")</formula>
    </cfRule>
  </conditionalFormatting>
  <conditionalFormatting sqref="U9:U58">
    <cfRule type="expression" priority="19" dxfId="2" stopIfTrue="1">
      <formula>AND($A9&lt;&gt;"",U9="")</formula>
    </cfRule>
  </conditionalFormatting>
  <conditionalFormatting sqref="V9:V58">
    <cfRule type="expression" priority="20" dxfId="2" stopIfTrue="1">
      <formula>AND($A9&lt;&gt;"",V9="")</formula>
    </cfRule>
  </conditionalFormatting>
  <conditionalFormatting sqref="W9:W58">
    <cfRule type="expression" priority="21" dxfId="2" stopIfTrue="1">
      <formula>AND($A9&lt;&gt;"",W9="")</formula>
    </cfRule>
    <cfRule type="expression" priority="53" dxfId="1" stopIfTrue="1">
      <formula>AND(ISNUMBER(W9),W9&gt;80000)</formula>
    </cfRule>
  </conditionalFormatting>
  <conditionalFormatting sqref="X9:X58">
    <cfRule type="expression" priority="22" dxfId="2" stopIfTrue="1">
      <formula>AND($A9&lt;&gt;"",X9="")</formula>
    </cfRule>
  </conditionalFormatting>
  <conditionalFormatting sqref="AG9:AG58">
    <cfRule type="expression" priority="23" dxfId="2" stopIfTrue="1">
      <formula>AND($A9&lt;&gt;"",AG9="")</formula>
    </cfRule>
  </conditionalFormatting>
  <conditionalFormatting sqref="A9:A58">
    <cfRule type="expression" priority="24" dxfId="2" stopIfTrue="1">
      <formula>AND($A9="",OR($M9&lt;&gt;"",$O9&lt;&gt;""))</formula>
    </cfRule>
    <cfRule type="expression" priority="40" dxfId="1" stopIfTrue="1">
      <formula>AND(A9&lt;&gt;"",LENB(A9)&lt;&gt;LEN(A9)*2)</formula>
    </cfRule>
    <cfRule type="expression" priority="41" dxfId="1" stopIfTrue="1">
      <formula>AND(A9&lt;&gt;"",ISERROR(FIND("　",A9)),ISERROR(FIND(" ",A9)))</formula>
    </cfRule>
  </conditionalFormatting>
  <conditionalFormatting sqref="AF9:AF58">
    <cfRule type="expression" priority="25" dxfId="2" stopIfTrue="1">
      <formula>AND($M9="通勤災害",AF9="")</formula>
    </cfRule>
    <cfRule type="expression" priority="30" dxfId="3" stopIfTrue="1">
      <formula>AND($M9&lt;&gt;"",NOT($M9="通勤災害"),AF9="")</formula>
    </cfRule>
  </conditionalFormatting>
  <conditionalFormatting sqref="AB9:AB58">
    <cfRule type="expression" priority="26" dxfId="2" stopIfTrue="1">
      <formula>AND(OR($N9="8号（休業補償給付）",$N9="16号の6（通勤・休業）"),AB9="")</formula>
    </cfRule>
    <cfRule type="expression" priority="31" dxfId="3" stopIfTrue="1">
      <formula>AND($N9&lt;&gt;"",NOT(OR($N9="8号（休業補償給付）",$N9="16号の6（通勤・休業）")),AB9="")</formula>
    </cfRule>
  </conditionalFormatting>
  <conditionalFormatting sqref="Y9:Y58">
    <cfRule type="expression" priority="27" dxfId="2" stopIfTrue="1">
      <formula>AND(OR($N9="8号（休業補償給付）",$N9="16号の6（通勤・休業）"),Y9="")</formula>
    </cfRule>
    <cfRule type="expression" priority="32" dxfId="3" stopIfTrue="1">
      <formula>AND($N9&lt;&gt;"",NOT(OR($N9="8号（休業補償給付）",$N9="16号の6（通勤・休業）")),Y9="")</formula>
    </cfRule>
    <cfRule type="expression" priority="54" dxfId="1" stopIfTrue="1">
      <formula>AND(ISNUMBER(Y9),Y9&gt;80000)</formula>
    </cfRule>
  </conditionalFormatting>
  <conditionalFormatting sqref="AC9:AC58">
    <cfRule type="expression" priority="28" dxfId="2" stopIfTrue="1">
      <formula>AND(OR($N9="8号（休業補償給付）",$N9="16号の6（通勤・休業）"),AC9="")</formula>
    </cfRule>
    <cfRule type="expression" priority="33" dxfId="3" stopIfTrue="1">
      <formula>AND($N9&lt;&gt;"",NOT(OR($N9="8号（休業補償給付）",$N9="16号の6（通勤・休業）")),AC9="")</formula>
    </cfRule>
  </conditionalFormatting>
  <conditionalFormatting sqref="AE9:AE58">
    <cfRule type="expression" priority="29" dxfId="2" stopIfTrue="1">
      <formula>AND($AD9="あり",AE9="")</formula>
    </cfRule>
    <cfRule type="expression" priority="34" dxfId="3" stopIfTrue="1">
      <formula>AND($AD9&lt;&gt;"",NOT($AD9="あり"),AE9="")</formula>
    </cfRule>
    <cfRule type="expression" priority="56" dxfId="1" stopIfTrue="1">
      <formula>AND(AE9&lt;&gt;"",LENB(AE9)&lt;&gt;LEN(AE9))</formula>
    </cfRule>
  </conditionalFormatting>
  <conditionalFormatting sqref="Z9:Z58">
    <cfRule type="expression" priority="39" dxfId="1" stopIfTrue="1">
      <formula>AND($Y9&lt;&gt;"",$Z9&lt;&gt;"",$Z9&lt;$Y9)</formula>
    </cfRule>
    <cfRule type="expression" priority="55" dxfId="1" stopIfTrue="1">
      <formula>AND(ISNUMBER(Z9),Z9&gt;80000)</formula>
    </cfRule>
  </conditionalFormatting>
  <conditionalFormatting sqref="J9:J58">
    <cfRule type="expression" priority="50" dxfId="1" stopIfTrue="1">
      <formula>AND(J9&lt;&gt;"",LENB(J9)&lt;&gt;LEN(J9)*2)</formula>
    </cfRule>
  </conditionalFormatting>
  <conditionalFormatting sqref="K9:K58">
    <cfRule type="expression" priority="51" dxfId="1" stopIfTrue="1">
      <formula>AND(K9&lt;&gt;"",LENB(K9)&lt;&gt;LEN(K9))</formula>
    </cfRule>
  </conditionalFormatting>
  <conditionalFormatting sqref="AI9:AI58">
    <cfRule type="expression" priority="57" dxfId="0" stopIfTrue="1">
      <formula>AI9="CSV可"</formula>
    </cfRule>
    <cfRule type="expression" priority="58" dxfId="1" stopIfTrue="1">
      <formula>AI9="未入力"</formula>
    </cfRule>
  </conditionalFormatting>
  <dataValidations count="18">
    <dataValidation sqref="C8:C58" showDropDown="0" showInputMessage="1" showErrorMessage="1" allowBlank="1" promptTitle="入力のヒント" prompt="西暦の生年月日。例 1990/4/1。" type="whole" errorStyle="warning" operator="between">
      <formula1>1</formula1>
      <formula2>99999999</formula2>
    </dataValidation>
    <dataValidation sqref="D8:D58" showDropDown="0" showInputMessage="1" showErrorMessage="0" allowBlank="1" promptTitle="入力のヒント" prompt="12桁の数字。ハイフン無し。会社所定の安全な経路で別提出する場合は『別経路提出』、未回収なら『後日提出』を選択。" type="list" errorStyle="stop">
      <formula1>m_番号提出状態</formula1>
    </dataValidation>
    <dataValidation sqref="E8:E58" showDropDown="0" showInputMessage="1" showErrorMessage="0" allowBlank="1" promptTitle="入力のヒント" prompt="基礎年金番号10桁（年金手帳・基礎年金番号通知書に記載）。ハイフン無し。不明なときは『後日提出』を選択。" type="list" errorStyle="stop">
      <formula1>m_後日提出</formula1>
    </dataValidation>
    <dataValidation sqref="F8:F58" showDropDown="0" showInputMessage="1" showErrorMessage="0" allowBlank="1" promptTitle="入力のヒント" prompt="雇用保険被保険者番号11桁（被保険者証・離職票に記載）。ハイフン無し。前職が無い方は『なし』、不明なときは『後日提出』を選択。" type="list" errorStyle="stop">
      <formula1>m_雇保番号状態</formula1>
    </dataValidation>
    <dataValidation sqref="G8:G58" showDropDown="0" showInputMessage="1" showErrorMessage="1" allowBlank="1" errorTitle="入力エラー" error="桁数を確認してください。" promptTitle="入力のヒント" prompt="ハイフン有無どちらでも可（例 930-0001 / 9300001）。" type="textLength" errorStyle="warning" operator="between">
      <formula1>7</formula1>
      <formula2>8</formula2>
    </dataValidation>
    <dataValidation sqref="H8:H58" showDropDown="0" showInputMessage="1" showErrorMessage="1" allowBlank="1" promptTitle="入力のヒント" prompt="一覧から選択。" type="list" errorStyle="stop">
      <formula1>m_都道府県</formula1>
    </dataValidation>
    <dataValidation sqref="L8:L58" showDropDown="0" showInputMessage="1" showErrorMessage="1" allowBlank="1" promptTitle="入力のヒント" prompt="被災した方が実際に従事していた仕事の種類。請求書の『職種』欄に転記します。" type="list" errorStyle="stop">
      <formula1>m_労災職種</formula1>
    </dataValidation>
    <dataValidation sqref="M8:M58" showDropDown="0" showInputMessage="1" showErrorMessage="1" allowBlank="1" promptTitle="入力のヒント" prompt="業務災害／通勤災害。" type="list" errorStyle="stop">
      <formula1>m_災害区分</formula1>
    </dataValidation>
    <dataValidation sqref="N8:N58" showDropDown="0" showInputMessage="1" showErrorMessage="1" allowBlank="1" promptTitle="入力のヒント" prompt="提出する労災様式。療養（5/7/16の3）・休業（8/16の6）。" type="list" errorStyle="stop">
      <formula1>m_請求様式</formula1>
    </dataValidation>
    <dataValidation sqref="O8:O58" showDropDown="0" showInputMessage="1" showErrorMessage="1" allowBlank="1" promptTitle="入力のヒント" prompt="西暦 YYYY/MM/DD（例 2026/7/1）。" type="whole" errorStyle="warning" operator="between">
      <formula1>1</formula1>
      <formula2>99999999</formula2>
    </dataValidation>
    <dataValidation sqref="W8:W58" showDropDown="0" showInputMessage="1" showErrorMessage="1" allowBlank="1" promptTitle="入力のヒント" prompt="西暦 YYYY/MM/DD（例 2026/7/1）。" type="whole" errorStyle="warning" operator="between">
      <formula1>1</formula1>
      <formula2>99999999</formula2>
    </dataValidation>
    <dataValidation sqref="X8:X58" showDropDown="0" showInputMessage="1" showErrorMessage="1" allowBlank="1" promptTitle="入力のヒント" prompt="受診先が労災指定医療機関か（5号/16号の3の判断）。" type="list" errorStyle="stop">
      <formula1>m_ありなし</formula1>
    </dataValidation>
    <dataValidation sqref="Y8:Y58" showDropDown="0" showInputMessage="1" showErrorMessage="1" allowBlank="1" promptTitle="入力のヒント" prompt="西暦 YYYY/MM/DD（例 2026/7/1）。" type="whole" errorStyle="warning" operator="between">
      <formula1>1</formula1>
      <formula2>99999999</formula2>
    </dataValidation>
    <dataValidation sqref="Z8:Z58" showDropDown="0" showInputMessage="1" showErrorMessage="1" allowBlank="1" promptTitle="入力のヒント" prompt="西暦 YYYY/MM/DD（例 2026/7/1）。" type="whole" errorStyle="warning" operator="between">
      <formula1>1</formula1>
      <formula2>99999999</formula2>
    </dataValidation>
    <dataValidation sqref="AA8:AA58" showDropDown="0" showInputMessage="1" showErrorMessage="1" allowBlank="1" promptTitle="入力のヒント" prompt="平均賃金算定のための、災害発生日以前3か月の賃金総額（参考）。" type="whole" errorStyle="stop" operator="between">
      <formula1>0</formula1>
      <formula2>100000000</formula2>
    </dataValidation>
    <dataValidation sqref="AB8:AB58" showDropDown="0" showInputMessage="1" showErrorMessage="1" allowBlank="1" promptTitle="入力のヒント" prompt="休業（補償）給付の請求時は必須。給付基礎日額（平均賃金）の算定のため、災害発生日以前3か月の賃金台帳・出勤簿の添付があるか。" type="list" errorStyle="stop">
      <formula1>m_ありなし</formula1>
    </dataValidation>
    <dataValidation sqref="AD8:AD58" showDropDown="0" showInputMessage="1" showErrorMessage="1" allowBlank="1" promptTitle="入力のヒント" prompt="被災した方が他社でも働いているか。複数の事業所で働く方は、給付の基礎になる日額の計算が変わります〔要確認〕。" type="list" errorStyle="stop">
      <formula1>m_他社就業</formula1>
    </dataValidation>
    <dataValidation sqref="AG8:AG58" showDropDown="0" showInputMessage="1" showErrorMessage="1" allowBlank="1" promptTitle="入力のヒント" prompt="交通事故など第三者の行為によるものか（別途届出が必要）。" type="list" errorStyle="stop">
      <formula1>m_ありなし</formula1>
    </dataValidation>
  </dataValidations>
  <pageMargins left="0.75" right="0.75" top="1" bottom="1" header="0.5" footer="0.5"/>
  <pageSetup orientation="landscape" paperSize="9" fitToHeight="0" fitToWidth="1"/>
  <legacyDrawing xmlns:r="http://schemas.openxmlformats.org/officeDocument/2006/relationships" r:id="anysvml"/>
</worksheet>
</file>

<file path=xl/worksheets/sheet4.xml><?xml version="1.0" encoding="utf-8"?>
<worksheet xmlns="http://schemas.openxmlformats.org/spreadsheetml/2006/main">
  <sheetPr>
    <tabColor rgb="00808080"/>
    <outlinePr summaryBelow="1" summaryRight="1"/>
    <pageSetUpPr/>
  </sheetPr>
  <dimension ref="A1:J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20.5" customHeight="1">
      <c r="A1" s="47" t="inlineStr">
        <is>
          <t>性別</t>
        </is>
      </c>
      <c r="B1" s="47" t="inlineStr">
        <is>
          <t>あり/なし</t>
        </is>
      </c>
      <c r="C1" s="47" t="inlineStr">
        <is>
          <t>都道府県</t>
        </is>
      </c>
      <c r="D1" s="47" t="inlineStr">
        <is>
          <t>番号提出状態</t>
        </is>
      </c>
      <c r="E1" s="47" t="inlineStr">
        <is>
          <t>後日提出</t>
        </is>
      </c>
      <c r="F1" s="47" t="inlineStr">
        <is>
          <t>雇保番号状態</t>
        </is>
      </c>
      <c r="G1" s="47" t="inlineStr">
        <is>
          <t>災害区分</t>
        </is>
      </c>
      <c r="H1" s="47" t="inlineStr">
        <is>
          <t>請求様式</t>
        </is>
      </c>
      <c r="I1" s="47" t="inlineStr">
        <is>
          <t>労災職種</t>
        </is>
      </c>
      <c r="J1" s="47" t="inlineStr">
        <is>
          <t>他社就業</t>
        </is>
      </c>
    </row>
    <row r="2">
      <c r="A2" s="48" t="inlineStr">
        <is>
          <t>男</t>
        </is>
      </c>
      <c r="B2" s="48" t="inlineStr">
        <is>
          <t>あり</t>
        </is>
      </c>
      <c r="C2" s="48" t="inlineStr">
        <is>
          <t>北海道</t>
        </is>
      </c>
      <c r="D2" s="48" t="inlineStr">
        <is>
          <t>後日提出</t>
        </is>
      </c>
      <c r="E2" s="48" t="inlineStr">
        <is>
          <t>後日提出</t>
        </is>
      </c>
      <c r="F2" s="48" t="inlineStr">
        <is>
          <t>なし</t>
        </is>
      </c>
      <c r="G2" s="48" t="inlineStr">
        <is>
          <t>業務災害</t>
        </is>
      </c>
      <c r="H2" s="48" t="inlineStr">
        <is>
          <t>5号（療養・労災指定病院）</t>
        </is>
      </c>
      <c r="I2" s="48" t="inlineStr">
        <is>
          <t>製造・生産工程</t>
        </is>
      </c>
      <c r="J2" s="48" t="inlineStr">
        <is>
          <t>なし</t>
        </is>
      </c>
    </row>
    <row r="3">
      <c r="A3" s="48" t="inlineStr">
        <is>
          <t>女</t>
        </is>
      </c>
      <c r="B3" s="48" t="inlineStr">
        <is>
          <t>なし</t>
        </is>
      </c>
      <c r="C3" s="48" t="inlineStr">
        <is>
          <t>青森県</t>
        </is>
      </c>
      <c r="D3" s="48" t="inlineStr">
        <is>
          <t>別経路提出</t>
        </is>
      </c>
      <c r="F3" s="48" t="inlineStr">
        <is>
          <t>後日提出</t>
        </is>
      </c>
      <c r="G3" s="48" t="inlineStr">
        <is>
          <t>通勤災害</t>
        </is>
      </c>
      <c r="H3" s="48" t="inlineStr">
        <is>
          <t>7号（療養・償還払い）</t>
        </is>
      </c>
      <c r="I3" s="48" t="inlineStr">
        <is>
          <t>建設・採掘</t>
        </is>
      </c>
      <c r="J3" s="48" t="inlineStr">
        <is>
          <t>あり</t>
        </is>
      </c>
    </row>
    <row r="4">
      <c r="C4" s="48" t="inlineStr">
        <is>
          <t>岩手県</t>
        </is>
      </c>
      <c r="H4" s="48" t="inlineStr">
        <is>
          <t>8号（休業補償給付）</t>
        </is>
      </c>
      <c r="I4" s="48" t="inlineStr">
        <is>
          <t>運輸・機械運転</t>
        </is>
      </c>
      <c r="J4" s="48" t="inlineStr">
        <is>
          <t>不明</t>
        </is>
      </c>
    </row>
    <row r="5">
      <c r="C5" s="48" t="inlineStr">
        <is>
          <t>宮城県</t>
        </is>
      </c>
      <c r="H5" s="48" t="inlineStr">
        <is>
          <t>16号の3（通勤・療養）</t>
        </is>
      </c>
      <c r="I5" s="48" t="inlineStr">
        <is>
          <t>運搬・清掃・包装等</t>
        </is>
      </c>
    </row>
    <row r="6">
      <c r="C6" s="48" t="inlineStr">
        <is>
          <t>秋田県</t>
        </is>
      </c>
      <c r="H6" s="48" t="inlineStr">
        <is>
          <t>16号の6（通勤・休業）</t>
        </is>
      </c>
      <c r="I6" s="48" t="inlineStr">
        <is>
          <t>販売</t>
        </is>
      </c>
    </row>
    <row r="7">
      <c r="C7" s="48" t="inlineStr">
        <is>
          <t>山形県</t>
        </is>
      </c>
      <c r="I7" s="48" t="inlineStr">
        <is>
          <t>サービス</t>
        </is>
      </c>
    </row>
    <row r="8">
      <c r="C8" s="48" t="inlineStr">
        <is>
          <t>福島県</t>
        </is>
      </c>
      <c r="I8" s="48" t="inlineStr">
        <is>
          <t>介護・看護・保健</t>
        </is>
      </c>
    </row>
    <row r="9">
      <c r="C9" s="48" t="inlineStr">
        <is>
          <t>茨城県</t>
        </is>
      </c>
      <c r="I9" s="48" t="inlineStr">
        <is>
          <t>保安</t>
        </is>
      </c>
    </row>
    <row r="10">
      <c r="C10" s="48" t="inlineStr">
        <is>
          <t>栃木県</t>
        </is>
      </c>
      <c r="I10" s="48" t="inlineStr">
        <is>
          <t>農林漁業</t>
        </is>
      </c>
    </row>
    <row r="11">
      <c r="C11" s="48" t="inlineStr">
        <is>
          <t>群馬県</t>
        </is>
      </c>
      <c r="I11" s="48" t="inlineStr">
        <is>
          <t>事務</t>
        </is>
      </c>
    </row>
    <row r="12">
      <c r="C12" s="48" t="inlineStr">
        <is>
          <t>埼玉県</t>
        </is>
      </c>
      <c r="I12" s="48" t="inlineStr">
        <is>
          <t>専門的・技術的</t>
        </is>
      </c>
    </row>
    <row r="13">
      <c r="C13" s="48" t="inlineStr">
        <is>
          <t>千葉県</t>
        </is>
      </c>
      <c r="I13" s="48" t="inlineStr">
        <is>
          <t>管理的</t>
        </is>
      </c>
    </row>
    <row r="14">
      <c r="C14" s="48" t="inlineStr">
        <is>
          <t>東京都</t>
        </is>
      </c>
      <c r="I14" s="48" t="inlineStr">
        <is>
          <t>その他</t>
        </is>
      </c>
    </row>
    <row r="15">
      <c r="C15" s="48" t="inlineStr">
        <is>
          <t>神奈川県</t>
        </is>
      </c>
    </row>
    <row r="16">
      <c r="C16" s="48" t="inlineStr">
        <is>
          <t>新潟県</t>
        </is>
      </c>
    </row>
    <row r="17">
      <c r="C17" s="48" t="inlineStr">
        <is>
          <t>富山県</t>
        </is>
      </c>
    </row>
    <row r="18">
      <c r="C18" s="48" t="inlineStr">
        <is>
          <t>石川県</t>
        </is>
      </c>
    </row>
    <row r="19">
      <c r="C19" s="48" t="inlineStr">
        <is>
          <t>福井県</t>
        </is>
      </c>
    </row>
    <row r="20">
      <c r="C20" s="48" t="inlineStr">
        <is>
          <t>山梨県</t>
        </is>
      </c>
    </row>
    <row r="21">
      <c r="C21" s="48" t="inlineStr">
        <is>
          <t>長野県</t>
        </is>
      </c>
    </row>
    <row r="22">
      <c r="C22" s="48" t="inlineStr">
        <is>
          <t>岐阜県</t>
        </is>
      </c>
    </row>
    <row r="23">
      <c r="C23" s="48" t="inlineStr">
        <is>
          <t>静岡県</t>
        </is>
      </c>
    </row>
    <row r="24">
      <c r="C24" s="48" t="inlineStr">
        <is>
          <t>愛知県</t>
        </is>
      </c>
    </row>
    <row r="25">
      <c r="C25" s="48" t="inlineStr">
        <is>
          <t>三重県</t>
        </is>
      </c>
    </row>
    <row r="26">
      <c r="C26" s="48" t="inlineStr">
        <is>
          <t>滋賀県</t>
        </is>
      </c>
    </row>
    <row r="27">
      <c r="C27" s="48" t="inlineStr">
        <is>
          <t>京都府</t>
        </is>
      </c>
    </row>
    <row r="28">
      <c r="C28" s="48" t="inlineStr">
        <is>
          <t>大阪府</t>
        </is>
      </c>
    </row>
    <row r="29">
      <c r="C29" s="48" t="inlineStr">
        <is>
          <t>兵庫県</t>
        </is>
      </c>
    </row>
    <row r="30">
      <c r="C30" s="48" t="inlineStr">
        <is>
          <t>奈良県</t>
        </is>
      </c>
    </row>
    <row r="31">
      <c r="C31" s="48" t="inlineStr">
        <is>
          <t>和歌山県</t>
        </is>
      </c>
    </row>
    <row r="32">
      <c r="C32" s="48" t="inlineStr">
        <is>
          <t>鳥取県</t>
        </is>
      </c>
    </row>
    <row r="33">
      <c r="C33" s="48" t="inlineStr">
        <is>
          <t>島根県</t>
        </is>
      </c>
    </row>
    <row r="34">
      <c r="C34" s="48" t="inlineStr">
        <is>
          <t>岡山県</t>
        </is>
      </c>
    </row>
    <row r="35">
      <c r="C35" s="48" t="inlineStr">
        <is>
          <t>広島県</t>
        </is>
      </c>
    </row>
    <row r="36">
      <c r="C36" s="48" t="inlineStr">
        <is>
          <t>山口県</t>
        </is>
      </c>
    </row>
    <row r="37">
      <c r="C37" s="48" t="inlineStr">
        <is>
          <t>徳島県</t>
        </is>
      </c>
    </row>
    <row r="38">
      <c r="C38" s="48" t="inlineStr">
        <is>
          <t>香川県</t>
        </is>
      </c>
    </row>
    <row r="39">
      <c r="C39" s="48" t="inlineStr">
        <is>
          <t>愛媛県</t>
        </is>
      </c>
    </row>
    <row r="40">
      <c r="C40" s="48" t="inlineStr">
        <is>
          <t>高知県</t>
        </is>
      </c>
    </row>
    <row r="41">
      <c r="C41" s="48" t="inlineStr">
        <is>
          <t>福岡県</t>
        </is>
      </c>
    </row>
    <row r="42">
      <c r="C42" s="48" t="inlineStr">
        <is>
          <t>佐賀県</t>
        </is>
      </c>
    </row>
    <row r="43">
      <c r="C43" s="48" t="inlineStr">
        <is>
          <t>長崎県</t>
        </is>
      </c>
    </row>
    <row r="44">
      <c r="C44" s="48" t="inlineStr">
        <is>
          <t>熊本県</t>
        </is>
      </c>
    </row>
    <row r="45">
      <c r="C45" s="48" t="inlineStr">
        <is>
          <t>大分県</t>
        </is>
      </c>
    </row>
    <row r="46">
      <c r="C46" s="48" t="inlineStr">
        <is>
          <t>宮崎県</t>
        </is>
      </c>
    </row>
    <row r="47">
      <c r="C47" s="48" t="inlineStr">
        <is>
          <t>鹿児島県</t>
        </is>
      </c>
    </row>
    <row r="48">
      <c r="C48" s="48" t="inlineStr">
        <is>
          <t>沖縄県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48" t="inlineStr">
        <is>
          <t>データシート</t>
        </is>
      </c>
      <c r="B1" s="48" t="inlineStr">
        <is>
          <t>労災 情報</t>
        </is>
      </c>
      <c r="C1" s="48" t="n"/>
      <c r="D1" s="48" t="n"/>
    </row>
    <row r="2">
      <c r="A2" s="48" t="inlineStr">
        <is>
          <t>開始行</t>
        </is>
      </c>
      <c r="B2" s="48" t="n">
        <v>9</v>
      </c>
      <c r="C2" s="48" t="n"/>
      <c r="D2" s="48" t="n"/>
    </row>
    <row r="3">
      <c r="A3" s="48" t="inlineStr">
        <is>
          <t>終了行</t>
        </is>
      </c>
      <c r="B3" s="48" t="n">
        <v>58</v>
      </c>
      <c r="C3" s="48" t="n"/>
      <c r="D3" s="48" t="n"/>
    </row>
    <row r="4">
      <c r="A4" s="48" t="inlineStr">
        <is>
          <t>見出し行</t>
        </is>
      </c>
      <c r="B4" s="48" t="n">
        <v>7</v>
      </c>
      <c r="C4" s="48" t="n"/>
      <c r="D4" s="48" t="n"/>
    </row>
    <row r="5">
      <c r="A5" s="48" t="inlineStr">
        <is>
          <t>A</t>
        </is>
      </c>
      <c r="B5" s="48" t="inlineStr">
        <is>
          <t>kanji</t>
        </is>
      </c>
      <c r="C5" s="48" t="inlineStr">
        <is>
          <t>氏名（漢字）</t>
        </is>
      </c>
      <c r="D5" s="48" t="n">
        <v>0</v>
      </c>
    </row>
    <row r="6">
      <c r="A6" s="48" t="inlineStr">
        <is>
          <t>B</t>
        </is>
      </c>
      <c r="B6" s="48" t="inlineStr">
        <is>
          <t>kana</t>
        </is>
      </c>
      <c r="C6" s="48" t="inlineStr">
        <is>
          <t>氏名（フリガナ）</t>
        </is>
      </c>
      <c r="D6" s="48" t="n">
        <v>25</v>
      </c>
    </row>
    <row r="7">
      <c r="A7" s="48" t="inlineStr">
        <is>
          <t>C</t>
        </is>
      </c>
      <c r="B7" s="48" t="inlineStr">
        <is>
          <t>date</t>
        </is>
      </c>
      <c r="C7" s="48" t="inlineStr">
        <is>
          <t>生年月日</t>
        </is>
      </c>
      <c r="D7" s="48" t="n">
        <v>0</v>
      </c>
    </row>
    <row r="8">
      <c r="A8" s="48" t="inlineStr">
        <is>
          <t>D</t>
        </is>
      </c>
      <c r="B8" s="48" t="inlineStr">
        <is>
          <t>num</t>
        </is>
      </c>
      <c r="C8" s="48" t="inlineStr">
        <is>
          <t>マイナンバー(12桁)</t>
        </is>
      </c>
      <c r="D8" s="48" t="n">
        <v>0</v>
      </c>
    </row>
    <row r="9">
      <c r="A9" s="48" t="inlineStr">
        <is>
          <t>E</t>
        </is>
      </c>
      <c r="B9" s="48" t="inlineStr">
        <is>
          <t>numh</t>
        </is>
      </c>
      <c r="C9" s="48" t="inlineStr">
        <is>
          <t>基礎年金番号(10桁)</t>
        </is>
      </c>
      <c r="D9" s="48" t="n">
        <v>0</v>
      </c>
    </row>
    <row r="10">
      <c r="A10" s="48" t="inlineStr">
        <is>
          <t>F</t>
        </is>
      </c>
      <c r="B10" s="48" t="inlineStr">
        <is>
          <t>numh</t>
        </is>
      </c>
      <c r="C10" s="48" t="inlineStr">
        <is>
          <t>雇用保険被保険者番号(11桁)</t>
        </is>
      </c>
      <c r="D10" s="48" t="n">
        <v>0</v>
      </c>
    </row>
    <row r="11">
      <c r="A11" s="48" t="inlineStr">
        <is>
          <t>G</t>
        </is>
      </c>
      <c r="B11" s="48" t="inlineStr">
        <is>
          <t>numh</t>
        </is>
      </c>
      <c r="C11" s="48" t="inlineStr">
        <is>
          <t>郵便番号</t>
        </is>
      </c>
      <c r="D11" s="48" t="n">
        <v>0</v>
      </c>
    </row>
    <row r="12">
      <c r="A12" s="48" t="inlineStr">
        <is>
          <t>I</t>
        </is>
      </c>
      <c r="B12" s="48" t="inlineStr">
        <is>
          <t>zen</t>
        </is>
      </c>
      <c r="C12" s="48" t="inlineStr">
        <is>
          <t>市区町村以下</t>
        </is>
      </c>
      <c r="D12" s="48" t="n">
        <v>0</v>
      </c>
    </row>
    <row r="13">
      <c r="A13" s="48" t="inlineStr">
        <is>
          <t>J</t>
        </is>
      </c>
      <c r="B13" s="48" t="inlineStr">
        <is>
          <t>zen</t>
        </is>
      </c>
      <c r="C13" s="48" t="inlineStr">
        <is>
          <t>建物名・部屋番号</t>
        </is>
      </c>
      <c r="D13" s="48" t="n">
        <v>0</v>
      </c>
    </row>
    <row r="14">
      <c r="A14" s="48" t="inlineStr">
        <is>
          <t>K</t>
        </is>
      </c>
      <c r="B14" s="48" t="inlineStr">
        <is>
          <t>numh</t>
        </is>
      </c>
      <c r="C14" s="48" t="inlineStr">
        <is>
          <t>電話番号</t>
        </is>
      </c>
      <c r="D14" s="48" t="n">
        <v>0</v>
      </c>
    </row>
    <row r="15">
      <c r="A15" s="48" t="inlineStr">
        <is>
          <t>O</t>
        </is>
      </c>
      <c r="B15" s="48" t="inlineStr">
        <is>
          <t>date</t>
        </is>
      </c>
      <c r="C15" s="48" t="inlineStr">
        <is>
          <t>災害発生年月日</t>
        </is>
      </c>
      <c r="D15" s="48" t="n">
        <v>0</v>
      </c>
    </row>
    <row r="16">
      <c r="A16" s="48" t="inlineStr">
        <is>
          <t>W</t>
        </is>
      </c>
      <c r="B16" s="48" t="inlineStr">
        <is>
          <t>date</t>
        </is>
      </c>
      <c r="C16" s="48" t="inlineStr">
        <is>
          <t>療養開始日</t>
        </is>
      </c>
      <c r="D16" s="48" t="n">
        <v>0</v>
      </c>
    </row>
    <row r="17">
      <c r="A17" s="48" t="inlineStr">
        <is>
          <t>Y</t>
        </is>
      </c>
      <c r="B17" s="48" t="inlineStr">
        <is>
          <t>date</t>
        </is>
      </c>
      <c r="C17" s="48" t="inlineStr">
        <is>
          <t>休業期間 開始</t>
        </is>
      </c>
      <c r="D17" s="48" t="n">
        <v>0</v>
      </c>
    </row>
    <row r="18">
      <c r="A18" s="48" t="inlineStr">
        <is>
          <t>Z</t>
        </is>
      </c>
      <c r="B18" s="48" t="inlineStr">
        <is>
          <t>date</t>
        </is>
      </c>
      <c r="C18" s="48" t="inlineStr">
        <is>
          <t>休業期間 終了</t>
        </is>
      </c>
      <c r="D18" s="48" t="n">
        <v>0</v>
      </c>
    </row>
    <row r="19">
      <c r="A19" s="48" t="inlineStr">
        <is>
          <t>AE</t>
        </is>
      </c>
      <c r="B19" s="48" t="inlineStr">
        <is>
          <t>numh</t>
        </is>
      </c>
      <c r="C19" s="48" t="inlineStr">
        <is>
          <t>他社の事業場名・労働保険番号</t>
        </is>
      </c>
      <c r="D19" s="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2026-09-10T18:30:41Z</dcterms:created>
  <dcterms:modified xmlns:dcterms="http://purl.org/dc/terms/" xmlns:xsi="http://www.w3.org/2001/XMLSchema-instance" xsi:type="dcterms:W3CDTF">2026-09-10T18:30:41Z</dcterms:modified>
</cp:coreProperties>
</file>