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お読みください" sheetId="1" state="visible" r:id="rId1"/>
    <sheet xmlns:r="http://schemas.openxmlformats.org/officeDocument/2006/relationships" name="提出チェック・添付・返送" sheetId="2" state="visible" r:id="rId2"/>
    <sheet xmlns:r="http://schemas.openxmlformats.org/officeDocument/2006/relationships" name="退職 情報" sheetId="3" state="visible" r:id="rId3"/>
    <sheet xmlns:r="http://schemas.openxmlformats.org/officeDocument/2006/relationships" name="_マスタ（非表示）" sheetId="4" state="hidden" r:id="rId4"/>
    <sheet xmlns:r="http://schemas.openxmlformats.org/officeDocument/2006/relationships" name="_制御（非表示）" sheetId="5" state="hidden" r:id="rId5"/>
  </sheets>
  <definedNames>
    <definedName name="m_性別">'_マスタ（非表示）'!$A$2:$A$3</definedName>
    <definedName name="m_ありなし">'_マスタ（非表示）'!$B$2:$B$3</definedName>
    <definedName name="m_退職理由">'_マスタ（非表示）'!$C$2:$C$8</definedName>
    <definedName name="m_離職理由区分">'_マスタ（非表示）'!$D$2:$D$5</definedName>
    <definedName name="m_契約更新条項">'_マスタ（非表示）'!$E$2:$E$5</definedName>
    <definedName name="m_更新希望">'_マスタ（非表示）'!$F$2:$F$4</definedName>
    <definedName name="m_回収状況">'_マスタ（非表示）'!$G$2:$G$5</definedName>
    <definedName name="m_退職後">'_マスタ（非表示）'!$H$2:$H$5</definedName>
    <definedName name="m_住民税">'_マスタ（非表示）'!$I$2:$I$5</definedName>
    <definedName name="m_退職金">'_マスタ（非表示）'!$J$2:$J$4</definedName>
    <definedName name="m_退職所得申告">'_マスタ（非表示）'!$K$2:$K$4</definedName>
    <definedName name="_xlnm.Print_Titles" localSheetId="2">'退職 情報'!$1:$7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&quot;件&quot;"/>
  </numFmts>
  <fonts count="15">
    <font>
      <name val="Calibri"/>
      <family val="2"/>
      <color theme="1"/>
      <sz val="11"/>
      <scheme val="minor"/>
    </font>
    <font>
      <name val="游ゴシック"/>
      <b val="1"/>
      <color rgb="00FFFFFF"/>
      <sz val="11"/>
    </font>
    <font>
      <name val="游ゴシック"/>
      <color rgb="00000000"/>
      <sz val="11"/>
    </font>
    <font>
      <name val="游ゴシック"/>
      <b val="1"/>
      <color rgb="001F4E79"/>
      <sz val="18"/>
    </font>
    <font>
      <name val="游ゴシック"/>
      <b val="1"/>
      <color rgb="00555555"/>
      <sz val="12"/>
    </font>
    <font>
      <name val="游ゴシック"/>
      <b val="1"/>
      <color rgb="00FFFFFF"/>
      <sz val="12"/>
    </font>
    <font>
      <name val="游ゴシック"/>
      <b val="1"/>
      <color rgb="001F3864"/>
      <sz val="11"/>
    </font>
    <font>
      <name val="游ゴシック"/>
      <b val="1"/>
      <color rgb="00000000"/>
      <sz val="11"/>
    </font>
    <font>
      <name val="游ゴシック"/>
      <b val="1"/>
      <color rgb="001F4E79"/>
      <sz val="16"/>
    </font>
    <font>
      <name val="游ゴシック"/>
      <b val="1"/>
      <color rgb="00C00000"/>
      <sz val="11"/>
    </font>
    <font>
      <name val="游ゴシック"/>
      <b val="1"/>
      <color rgb="001F4E79"/>
      <sz val="11"/>
    </font>
    <font>
      <name val="游ゴシック"/>
      <b val="1"/>
      <color rgb="00000000"/>
      <sz val="14"/>
    </font>
    <font>
      <name val="游ゴシック"/>
      <b val="1"/>
      <i val="1"/>
      <color rgb="002E75B6"/>
      <sz val="11"/>
    </font>
    <font>
      <name val="游ゴシック"/>
      <i val="1"/>
      <color rgb="00000000"/>
      <sz val="11"/>
    </font>
    <font>
      <name val="游ゴシック"/>
      <color rgb="00555555"/>
      <sz val="11"/>
    </font>
  </fonts>
  <fills count="20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CE4E4"/>
      </patternFill>
    </fill>
    <fill>
      <patternFill patternType="solid">
        <fgColor rgb="00FCE4D6"/>
      </patternFill>
    </fill>
    <fill>
      <patternFill patternType="darkUp">
        <fgColor rgb="00808080"/>
        <bgColor rgb="00595959"/>
      </patternFill>
    </fill>
    <fill>
      <patternFill patternType="solid">
        <fgColor rgb="00E2EFDA"/>
      </patternFill>
    </fill>
    <fill>
      <patternFill patternType="solid">
        <fgColor rgb="00EAF1FB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E2F0D9"/>
      </patternFill>
    </fill>
    <fill>
      <patternFill patternType="solid">
        <fgColor rgb="00EDEDED"/>
      </patternFill>
    </fill>
    <fill>
      <patternFill patternType="solid">
        <fgColor rgb="00BDD7EE"/>
      </patternFill>
    </fill>
    <fill>
      <patternFill patternType="solid">
        <fgColor rgb="00EAF3FB"/>
      </patternFill>
    </fill>
    <fill>
      <patternFill patternType="solid">
        <fgColor rgb="00FFF8E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4" fillId="19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1" applyAlignment="1" pivotButton="0" quotePrefix="0" xfId="0">
      <alignment horizontal="left" vertical="top" wrapText="1"/>
    </xf>
    <xf numFmtId="164" fontId="2" fillId="0" borderId="1" applyAlignment="1" applyProtection="1" pivotButton="0" quotePrefix="0" xfId="0">
      <alignment horizontal="center" vertical="center" wrapText="1"/>
      <protection locked="0" hidden="0"/>
    </xf>
    <xf numFmtId="0" fontId="6" fillId="6" borderId="1" applyAlignment="1" pivotButton="0" quotePrefix="0" xfId="0">
      <alignment horizontal="left" vertical="center" wrapText="1"/>
    </xf>
    <xf numFmtId="165" fontId="2" fillId="6" borderId="1" applyAlignment="1" pivotButton="0" quotePrefix="0" xfId="0">
      <alignment horizontal="center" vertical="center" wrapText="1"/>
    </xf>
    <xf numFmtId="9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7" fillId="1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7" fillId="13" borderId="1" applyAlignment="1" applyProtection="1" pivotButton="0" quotePrefix="0" xfId="0">
      <alignment horizontal="left" vertical="top" wrapText="1"/>
      <protection locked="0" hidden="0"/>
    </xf>
    <xf numFmtId="0" fontId="2" fillId="13" borderId="1" applyAlignment="1" applyProtection="1" pivotButton="0" quotePrefix="0" xfId="0">
      <alignment horizontal="left" vertical="top" wrapText="1"/>
      <protection locked="0" hidden="0"/>
    </xf>
    <xf numFmtId="0" fontId="9" fillId="0" borderId="0" applyAlignment="1" pivotButton="0" quotePrefix="0" xfId="0">
      <alignment horizontal="left" vertical="center" wrapText="1"/>
    </xf>
    <xf numFmtId="0" fontId="0" fillId="12" borderId="0" pivotButton="0" quotePrefix="0" xfId="0"/>
    <xf numFmtId="0" fontId="10" fillId="12" borderId="0" applyAlignment="1" pivotButton="0" quotePrefix="0" xfId="0">
      <alignment horizontal="center" vertical="center" wrapText="1"/>
    </xf>
    <xf numFmtId="165" fontId="11" fillId="13" borderId="1" applyAlignment="1" pivotButton="0" quotePrefix="0" xfId="0">
      <alignment horizontal="center" vertical="center" wrapText="1"/>
    </xf>
    <xf numFmtId="9" fontId="11" fillId="13" borderId="1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164" fontId="13" fillId="18" borderId="1" applyAlignment="1" pivotButton="0" quotePrefix="0" xfId="0">
      <alignment horizontal="center" vertical="center" wrapText="1"/>
    </xf>
    <xf numFmtId="49" fontId="13" fillId="18" borderId="1" applyAlignment="1" pivotButton="0" quotePrefix="0" xfId="0">
      <alignment horizontal="center" vertical="center" wrapText="1"/>
    </xf>
    <xf numFmtId="3" fontId="13" fillId="18" borderId="1" applyAlignment="1" pivotButton="0" quotePrefix="0" xfId="0">
      <alignment horizontal="center" vertical="center" wrapText="1"/>
    </xf>
    <xf numFmtId="1" fontId="2" fillId="0" borderId="1" applyAlignment="1" applyProtection="1" pivotButton="0" quotePrefix="0" xfId="0">
      <alignment horizontal="center" vertical="center" wrapText="1"/>
      <protection locked="0" hidden="0"/>
    </xf>
    <xf numFmtId="0" fontId="2" fillId="7" borderId="1" applyAlignment="1" applyProtection="1" pivotButton="0" quotePrefix="0" xfId="0">
      <alignment horizontal="center" vertical="center" wrapText="1"/>
      <protection locked="0" hidden="0"/>
    </xf>
    <xf numFmtId="164" fontId="2" fillId="7" borderId="1" applyAlignment="1" applyProtection="1" pivotButton="0" quotePrefix="0" xfId="0">
      <alignment horizontal="center" vertical="center" wrapText="1"/>
      <protection locked="0" hidden="0"/>
    </xf>
    <xf numFmtId="49" fontId="2" fillId="7" borderId="1" applyAlignment="1" applyProtection="1" pivotButton="0" quotePrefix="0" xfId="0">
      <alignment horizontal="center" vertical="center" wrapText="1"/>
      <protection locked="0" hidden="0"/>
    </xf>
    <xf numFmtId="164" fontId="2" fillId="6" borderId="1" applyAlignment="1" pivotButton="0" quotePrefix="0" xfId="0">
      <alignment horizontal="center" vertical="center" wrapText="1"/>
    </xf>
    <xf numFmtId="3" fontId="2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1" applyAlignment="1" applyProtection="1" pivotButton="0" quotePrefix="0" xfId="0">
      <alignment horizontal="center" vertical="center" wrapText="1"/>
      <protection locked="0" hidden="0"/>
    </xf>
    <xf numFmtId="165" fontId="2" fillId="6" borderId="1" applyAlignment="1" pivotButton="0" quotePrefix="0" xfId="0">
      <alignment horizontal="center" vertical="center" wrapText="1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11" fillId="1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13" fillId="18" borderId="1" applyAlignment="1" pivotButton="0" quotePrefix="0" xfId="0">
      <alignment horizontal="center" vertical="center" wrapText="1"/>
    </xf>
    <xf numFmtId="164" fontId="2" fillId="7" borderId="1" applyAlignment="1" applyProtection="1" pivotButton="0" quotePrefix="0" xfId="0">
      <alignment horizontal="center" vertical="center" wrapText="1"/>
      <protection locked="0" hidden="0"/>
    </xf>
    <xf numFmtId="164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CE4E4"/>
          <bgColor rgb="00FCE4E4"/>
        </patternFill>
      </fill>
    </dxf>
    <dxf>
      <fill>
        <patternFill patternType="darkUp">
          <fgColor rgb="00808080"/>
          <bgColor rgb="0059595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社労士フォーム</author>
  </authors>
  <commentList>
    <comment ref="A7" authorId="0" shapeId="0">
      <text>
        <t>用途：本人を特定する従業員ID（台帳・各届出の共通キー）。これで台帳から本人情報を流用します。</t>
      </text>
    </comment>
    <comment ref="B7" authorId="0" shapeId="0">
      <text>
        <t>用途：各届出（資格喪失届・離職証明書 等）の被保険者氏名。台帳から流用。</t>
      </text>
    </comment>
    <comment ref="C7" authorId="0" shapeId="0">
      <text>
        <t>用途：電子申請のフリガナ欄（全角カタカナ）。台帳から流用。</t>
      </text>
    </comment>
    <comment ref="D7" authorId="0" shapeId="0">
      <text>
        <t>用途：被保険者の生年月日（各届出の本人確認）。台帳から流用。</t>
      </text>
    </comment>
    <comment ref="E7" authorId="0" shapeId="0">
      <text>
        <t>用途：各届出のマイナンバー欄。台帳から流用。</t>
      </text>
    </comment>
    <comment ref="F7" authorId="0" shapeId="0">
      <text>
        <t>用途：厚生年金の基礎年金番号欄。台帳から流用。</t>
      </text>
    </comment>
    <comment ref="G7" authorId="0" shapeId="0">
      <text>
        <t>用途：雇用保険の被保険者番号欄。台帳から流用。</t>
      </text>
    </comment>
    <comment ref="H7" authorId="0" shapeId="0">
      <text>
        <t>用途：本人住所（離職票の送付先・各届出の住所欄）。台帳から流用。</t>
      </text>
    </comment>
    <comment ref="I7" authorId="0" shapeId="0">
      <text>
        <t>用途：本人住所の都道府県。台帳から流用。</t>
      </text>
    </comment>
    <comment ref="J7" authorId="0" shapeId="0">
      <text>
        <t>用途：本人住所の市区町村以下。台帳から流用。</t>
      </text>
    </comment>
    <comment ref="K7" authorId="0" shapeId="0">
      <text>
        <t>用途：本人住所の建物・部屋。台帳から流用。</t>
      </text>
    </comment>
    <comment ref="L7" authorId="0" shapeId="0">
      <text>
        <t>用途：本人連絡先。確認の連絡用。台帳から流用。</t>
      </text>
    </comment>
    <comment ref="M7" authorId="0" shapeId="0">
      <text>
        <t>用途：雇用保険・社保の資格喪失届／離職証明書の離職日。</t>
      </text>
    </comment>
    <comment ref="N7" authorId="0" shapeId="0">
      <text>
        <t>用途：健保・厚年の資格喪失日（離職日の翌日）。自動計算。</t>
      </text>
    </comment>
    <comment ref="O7" authorId="0" shapeId="0">
      <text>
        <t>用途：離職証明書の離職理由。</t>
      </text>
    </comment>
    <comment ref="P7" authorId="0" shapeId="0">
      <text>
        <t>用途：雇用保険の離職理由区分（給付制限・所定給付日数の判定に直結）。目安。</t>
      </text>
    </comment>
    <comment ref="Q7" authorId="0" shapeId="0">
      <text>
        <t>用途：離職証明書『具体的事情記載欄』への転記用。</t>
      </text>
    </comment>
    <comment ref="R7" authorId="0" shapeId="0">
      <text>
        <t>用途：有期契約の雇止め判定（離職理由区分）。</t>
      </text>
    </comment>
    <comment ref="S7" authorId="0" shapeId="0">
      <text>
        <t>用途：雇止め時の本人の更新希望（離職理由区分の判定）。</t>
      </text>
    </comment>
    <comment ref="T7" authorId="0" shapeId="0">
      <text>
        <t>用途：離職票の交付要否（本人が基本手当を申請するか）。</t>
      </text>
    </comment>
    <comment ref="U7" authorId="0" shapeId="0">
      <text>
        <t>用途：離職票の送付先（退職後に転居する場合）。</t>
      </text>
    </comment>
    <comment ref="V7" authorId="0" shapeId="0">
      <text>
        <t>用途：離職証明書の賃金欄作成のための賃金台帳・出勤簿の添付確認。</t>
      </text>
    </comment>
    <comment ref="W7" authorId="0" shapeId="0">
      <text>
        <t>用途：賃金締切日（離職証明書の賃金支払対象期間の区切り）。</t>
      </text>
    </comment>
    <comment ref="X7" authorId="0" shapeId="0">
      <text>
        <t>用途：離職前賃金の参考値（正確な額は賃金台帳で算定）。</t>
      </text>
    </comment>
    <comment ref="Y7" authorId="0" shapeId="0">
      <text>
        <t>用途：直近賞与の参考値。</t>
      </text>
    </comment>
    <comment ref="Z7" authorId="0" shapeId="0">
      <text>
        <t>用途：健康保険証・資格確認書の回収状況（資格喪失に伴う返却）。</t>
      </text>
    </comment>
    <comment ref="AA7" authorId="0" shapeId="0">
      <text>
        <t>用途：退職後の医療保険の予定（任意継続・扶養・国保）。手続き案内用。</t>
      </text>
    </comment>
    <comment ref="AB7" authorId="0" shapeId="0">
      <text>
        <t>用途：住民税の徴収方法（給与所得者異動届の区分）。</t>
      </text>
    </comment>
    <comment ref="AC7" authorId="0" shapeId="0">
      <text>
        <t>用途：退職月からの住民税の取扱い目安。自動表示。</t>
      </text>
    </comment>
    <comment ref="AD7" authorId="0" shapeId="0">
      <text>
        <t>用途：特別徴収を継続する場合の転職先（異動届で引継ぎ）。</t>
      </text>
    </comment>
    <comment ref="AE7" authorId="0" shapeId="0">
      <text>
        <t>用途：給与所得者異動届の提出先市区町村（住民税の課税地）。</t>
      </text>
    </comment>
    <comment ref="AF7" authorId="0" shapeId="0">
      <text>
        <t>用途：退職金の有無（退職所得の源泉・申告書要否の判断）。</t>
      </text>
    </comment>
    <comment ref="AG7" authorId="0" shapeId="0">
      <text>
        <t>用途：退職所得の受給に関する申告書の受領（未提出は一律20.42%源泉）。</t>
      </text>
    </comment>
    <comment ref="AH7" authorId="0" shapeId="0">
      <text>
        <t>用途：連絡事項（係争の有無・特記など）。自由記入。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</cols>
  <sheetData>
    <row r="1">
      <c r="B1" s="1" t="inlineStr">
        <is>
          <t>退職時 受領フォーム</t>
        </is>
      </c>
    </row>
    <row r="2">
      <c r="B2" s="2" t="inlineStr">
        <is>
          <t>はじめにお読みください（記入要領）</t>
        </is>
      </c>
    </row>
    <row r="3"/>
    <row r="4" ht="24" customHeight="1">
      <c r="B4" s="3" t="inlineStr">
        <is>
          <t>この書類について</t>
        </is>
      </c>
    </row>
    <row r="5" ht="20.5" customHeight="1">
      <c r="B5" s="4" t="inlineStr">
        <is>
          <t>事務所名</t>
        </is>
      </c>
      <c r="C5" s="5" t="inlineStr">
        <is>
          <t>みなの社会保険労務士事務所</t>
        </is>
      </c>
    </row>
    <row r="6" ht="20.5" customHeight="1">
      <c r="B6" s="4" t="inlineStr">
        <is>
          <t>お問い合わせ</t>
        </is>
      </c>
      <c r="C6" s="5" t="inlineStr">
        <is>
          <t>（連絡先）</t>
        </is>
      </c>
    </row>
    <row r="7" ht="20.5" customHeight="1">
      <c r="B7" s="4" t="inlineStr">
        <is>
          <t>バージョン</t>
        </is>
      </c>
      <c r="C7" s="5" t="inlineStr">
        <is>
          <t>1.0（更新日 2026-07-04）</t>
        </is>
      </c>
    </row>
    <row r="8"/>
    <row r="9" ht="24" customHeight="1">
      <c r="B9" s="3" t="inlineStr">
        <is>
          <t>目的</t>
        </is>
      </c>
    </row>
    <row r="10" ht="70" customHeight="1">
      <c r="C10" s="5" t="inlineStr">
        <is>
          <t>退職される方の『雇用保険 資格喪失届・離職証明書』『健康保険・厚生年金 資格喪失届』『住民税の異動』の
手続きに必要な情報を回収します。生年月日・マイナンバー・各種番号など入社時に取得済みの
情報は『社員番号（従業員ID）』で紐付くため、ここでは再入力不要です。</t>
        </is>
      </c>
    </row>
    <row r="11"/>
    <row r="12" ht="24" customHeight="1">
      <c r="B12" s="3" t="inlineStr">
        <is>
          <t>入力の流れ</t>
        </is>
      </c>
    </row>
    <row r="13" ht="20.5" customHeight="1">
      <c r="C13" s="5" t="inlineStr">
        <is>
          <t>1. 『社員番号』に従業員台帳の従業員IDを入力（氏名などは事務所側で自動補完できます）。</t>
        </is>
      </c>
    </row>
    <row r="14" ht="20.5" customHeight="1">
      <c r="C14" s="5" t="inlineStr">
        <is>
          <t>2. 退職事由・雇用保険・社会保険・住民税の各項目を入力します。</t>
        </is>
      </c>
    </row>
    <row r="15" ht="20.5" customHeight="1">
      <c r="C15" s="5" t="inlineStr">
        <is>
          <t>3. 離職証明書の賃金欄のため、賃金台帳・出勤簿を別途添付してください。</t>
        </is>
      </c>
    </row>
    <row r="16"/>
    <row r="17" ht="24" customHeight="1">
      <c r="B17" s="3" t="inlineStr">
        <is>
          <t>色の凡例</t>
        </is>
      </c>
    </row>
    <row r="18" ht="20.5" customHeight="1">
      <c r="B18" s="6" t="inlineStr">
        <is>
          <t>必須</t>
        </is>
      </c>
      <c r="C18" s="5" t="inlineStr">
        <is>
          <t>ヘッダーが薄い黄色。必ず入力してください。</t>
        </is>
      </c>
    </row>
    <row r="19" ht="20.5" customHeight="1">
      <c r="B19" s="7" t="inlineStr">
        <is>
          <t>任意</t>
        </is>
      </c>
      <c r="C19" s="5" t="inlineStr">
        <is>
          <t>ヘッダーが薄い灰色。該当する場合に入力。</t>
        </is>
      </c>
    </row>
    <row r="20" ht="20.5" customHeight="1">
      <c r="B20" s="8" t="inlineStr">
        <is>
          <t>自動</t>
        </is>
      </c>
      <c r="C20" s="5" t="inlineStr">
        <is>
          <t>灰色。自動計算・編集不可。</t>
        </is>
      </c>
    </row>
    <row r="21" ht="20.5" customHeight="1">
      <c r="B21" s="9" t="inlineStr">
        <is>
          <t>流用</t>
        </is>
      </c>
      <c r="C21" s="5" t="inlineStr">
        <is>
          <t>薄い青。マスターから流用する情報（再入力不要。氏名は自動補完または手入力）。</t>
        </is>
      </c>
    </row>
    <row r="22" ht="20.5" customHeight="1">
      <c r="B22" s="10" t="inlineStr">
        <is>
          <t>未入力警告</t>
        </is>
      </c>
      <c r="C22" s="5" t="inlineStr">
        <is>
          <t>必須の空欄が薄い赤で点灯。入力で消えます。</t>
        </is>
      </c>
    </row>
    <row r="23" ht="20.5" customHeight="1">
      <c r="B23" s="11" t="inlineStr">
        <is>
          <t>形式警告</t>
        </is>
      </c>
      <c r="C23" s="5" t="inlineStr">
        <is>
          <t>桁数・形式が想定と違うと薄い橙で点灯。</t>
        </is>
      </c>
    </row>
    <row r="24" ht="20.5" customHeight="1">
      <c r="B24" s="12" t="inlineStr">
        <is>
          <t>対象外</t>
        </is>
      </c>
      <c r="C24" s="5" t="inlineStr">
        <is>
          <t>暗い灰の斜線（ハッチ）。その条件では記入不要な欄。</t>
        </is>
      </c>
    </row>
    <row r="25" ht="20.5" customHeight="1">
      <c r="B25" s="13" t="inlineStr">
        <is>
          <t>問題なし</t>
        </is>
      </c>
      <c r="C25" s="5" t="inlineStr">
        <is>
          <t>薄い緑。入力・判定が正常なことを示します。</t>
        </is>
      </c>
    </row>
    <row r="26"/>
    <row r="27" ht="24" customHeight="1">
      <c r="B27" s="3" t="inlineStr">
        <is>
          <t>ご注意</t>
        </is>
      </c>
    </row>
    <row r="28" ht="20.5" customHeight="1">
      <c r="C28" s="5" t="inlineStr">
        <is>
          <t>離職理由区分は『目安』です。最終判断は社労士・ハローワークが行います。</t>
        </is>
      </c>
    </row>
    <row r="29" ht="20.5" customHeight="1">
      <c r="C29" s="5" t="inlineStr">
        <is>
          <t>保険証・資格確認書は本人/被扶養者分を回収のうえご返送ください。</t>
        </is>
      </c>
    </row>
    <row r="30" ht="53.5" customHeight="1">
      <c r="C30" s="5" t="inlineStr">
        <is>
          <t>住民税は退職月で取扱いが変わります（1〜4月退職は原則一括徴収）。特別徴収を継続する場合は転職先情報もご記入ください。給与所得者異動届出書を、退職した翌月10日までに本人の課税市区町村へ提出します。</t>
        </is>
      </c>
    </row>
    <row r="31" ht="37" customHeight="1">
      <c r="C31" s="5" t="inlineStr">
        <is>
          <t>退職金がある場合は、本人から『退職所得の受給に関する申告書』を受領してください（未提出だと退職金に一律20.42%が源泉徴収されます）。</t>
        </is>
      </c>
    </row>
    <row r="32" ht="37" customHeight="1">
      <c r="C32" s="5" t="inlineStr">
        <is>
          <t>提出期限の目安：健康保険・厚生年金の資格喪失届は退職日の翌日から5日以内、雇用保険の資格喪失届・離職証明書は10日以内です。お早めにご返送ください。</t>
        </is>
      </c>
    </row>
  </sheetData>
  <mergeCells count="6">
    <mergeCell ref="B27:C27"/>
    <mergeCell ref="B17:C17"/>
    <mergeCell ref="B9:C9"/>
    <mergeCell ref="B1:C1"/>
    <mergeCell ref="B4:C4"/>
    <mergeCell ref="B12:C12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60" customWidth="1" min="4" max="4"/>
  </cols>
  <sheetData>
    <row r="1">
      <c r="B1" s="14" t="inlineStr">
        <is>
          <t>退職時 受領フォーム　提出チェック・添付・返送</t>
        </is>
      </c>
    </row>
    <row r="2" ht="37" customHeight="1">
      <c r="B2" s="15" t="inlineStr">
        <is>
          <t>このシートは顧問先（ご担当者さま）が、入力 → 提出前の確認 → 当事務所への返送まで迷わず進めるための案内です。本体シートをご記入のうえ、最後にここをご確認ください。</t>
        </is>
      </c>
    </row>
    <row r="3"/>
    <row r="4" ht="24" customHeight="1">
      <c r="B4" s="3" t="inlineStr">
        <is>
          <t>① 提出前チェック</t>
        </is>
      </c>
    </row>
    <row r="5" ht="26" customHeight="1">
      <c r="B5" s="16" t="inlineStr">
        <is>
          <t>顧問先名</t>
        </is>
      </c>
      <c r="C5" s="17" t="n"/>
      <c r="D5" s="18" t="inlineStr">
        <is>
          <t>貴社名をご記入ください。</t>
        </is>
      </c>
    </row>
    <row r="6" ht="26" customHeight="1">
      <c r="B6" s="16" t="inlineStr">
        <is>
          <t>ご入力担当者名</t>
        </is>
      </c>
      <c r="C6" s="17" t="n"/>
      <c r="D6" s="18" t="inlineStr">
        <is>
          <t>このフォームをご記入された方のお名前。</t>
        </is>
      </c>
    </row>
    <row r="7" ht="26" customHeight="1">
      <c r="B7" s="16" t="inlineStr">
        <is>
          <t>ご担当者 連絡先</t>
        </is>
      </c>
      <c r="C7" s="17" t="n"/>
      <c r="D7" s="18" t="inlineStr">
        <is>
          <t>電話番号またはメールアドレス。確認時の連絡用。</t>
        </is>
      </c>
    </row>
    <row r="8" ht="26" customHeight="1">
      <c r="B8" s="16" t="inlineStr">
        <is>
          <t>記入日</t>
        </is>
      </c>
      <c r="C8" s="56" t="n"/>
      <c r="D8" s="18" t="inlineStr">
        <is>
          <t>ご記入（最終確認）日。</t>
        </is>
      </c>
    </row>
    <row r="9" ht="26" customHeight="1">
      <c r="B9" s="20" t="inlineStr">
        <is>
          <t>対象者数（自動）</t>
        </is>
      </c>
      <c r="C9" s="57">
        <f>'退職 情報'!A4</f>
        <v/>
      </c>
      <c r="D9" s="18" t="inlineStr">
        <is>
          <t>本体シートに入力された件数を自動表示します。</t>
        </is>
      </c>
    </row>
    <row r="10" ht="37" customHeight="1">
      <c r="B10" s="20" t="inlineStr">
        <is>
          <t>必須の未入力 残（自動）</t>
        </is>
      </c>
      <c r="C10" s="57">
        <f>'退職 情報'!E4</f>
        <v/>
      </c>
      <c r="D10" s="18" t="inlineStr">
        <is>
          <t>未入力の必須項目の残数。0件になるまでご記入ください（本体の薄赤・行ステータス参照）。</t>
        </is>
      </c>
    </row>
    <row r="11" ht="26" customHeight="1">
      <c r="B11" s="20" t="inlineStr">
        <is>
          <t>完了率（自動）</t>
        </is>
      </c>
      <c r="C11" s="22">
        <f>'退職 情報'!G4</f>
        <v/>
      </c>
      <c r="D11" s="18" t="inlineStr">
        <is>
          <t>必須項目の充足率。</t>
        </is>
      </c>
    </row>
    <row r="12" ht="37" customHeight="1">
      <c r="B12" s="20" t="inlineStr">
        <is>
          <t>提出可否（自動）</t>
        </is>
      </c>
      <c r="C12" s="23">
        <f>IF('退職 情報'!A4=0,"未入力（対象者なし）",IF('退職 情報'!E4=0,"提出可（必須の未入力なし）","未入力あり：本体シートの薄赤セル・行ステータスをご確認ください"))</f>
        <v/>
      </c>
      <c r="D12" s="18" t="inlineStr">
        <is>
          <t>必須の未入力が無ければ『提出可』。残っていれば本体をご確認ください。</t>
        </is>
      </c>
    </row>
    <row r="13" ht="26" customHeight="1">
      <c r="B13" s="16" t="inlineStr">
        <is>
          <t>事務所への連絡事項</t>
        </is>
      </c>
      <c r="C13" s="17" t="n"/>
      <c r="D13" s="18" t="inlineStr">
        <is>
          <t>不明点・特記事項があればご記入ください（任意）。</t>
        </is>
      </c>
    </row>
    <row r="14"/>
    <row r="15" ht="24" customHeight="1">
      <c r="B15" s="3" t="inlineStr">
        <is>
          <t>② 添付資料チェック（この手続きで必要なもの）</t>
        </is>
      </c>
    </row>
    <row r="16" ht="20.5" customHeight="1">
      <c r="B16" s="24" t="inlineStr">
        <is>
          <t>「状態」を選び、未入手は『後日提出』『事務所で確認』等の状態を残してください（空欄のままにしない）。</t>
        </is>
      </c>
    </row>
    <row r="17" ht="22" customHeight="1">
      <c r="B17" s="25" t="inlineStr">
        <is>
          <t>資料・項目</t>
        </is>
      </c>
      <c r="C17" s="25" t="inlineStr">
        <is>
          <t>状態</t>
        </is>
      </c>
      <c r="D17" s="25" t="inlineStr">
        <is>
          <t>補足（何のために使うか）</t>
        </is>
      </c>
    </row>
    <row r="18" ht="37" customHeight="1">
      <c r="B18" s="26" t="inlineStr">
        <is>
          <t>賃金台帳（離職前6か月分）</t>
        </is>
      </c>
      <c r="C18" s="17" t="n"/>
      <c r="D18" s="18" t="inlineStr">
        <is>
          <t>離職証明書の賃金欄（基本手当の算定基礎）を作成するために使用。</t>
        </is>
      </c>
    </row>
    <row r="19" ht="37" customHeight="1">
      <c r="B19" s="26" t="inlineStr">
        <is>
          <t>出勤簿・タイムカード（離職前12か月分）</t>
        </is>
      </c>
      <c r="C19" s="17" t="n"/>
      <c r="D19" s="18" t="inlineStr">
        <is>
          <t>賃金支払基礎日数（11日以上の月）の確認に使用。</t>
        </is>
      </c>
    </row>
    <row r="20" ht="37" customHeight="1">
      <c r="B20" s="26" t="inlineStr">
        <is>
          <t>離職票の交付希望</t>
        </is>
      </c>
      <c r="C20" s="17" t="n"/>
      <c r="D20" s="18" t="inlineStr">
        <is>
          <t>本人が基本手当を申請するなら『あり』。本体シートにも入力欄あり。</t>
        </is>
      </c>
    </row>
    <row r="21" ht="37" customHeight="1">
      <c r="B21" s="26" t="inlineStr">
        <is>
          <t>健康保険証・資格確認書（本人・被扶養者分）</t>
        </is>
      </c>
      <c r="C21" s="17" t="n"/>
      <c r="D21" s="18" t="inlineStr">
        <is>
          <t>資格喪失に伴う回収状況。回収済みであれば同封、未回収なら状態を記載。</t>
        </is>
      </c>
    </row>
    <row r="22" ht="37" customHeight="1">
      <c r="B22" s="26" t="inlineStr">
        <is>
          <t>住民税の異動に関する情報</t>
        </is>
      </c>
      <c r="C22" s="17" t="n"/>
      <c r="D22" s="18" t="inlineStr">
        <is>
          <t>特別徴収の継続／一括徴収／普通徴収の別。退職月により取扱いが変わります。</t>
        </is>
      </c>
    </row>
    <row r="23" ht="37" customHeight="1">
      <c r="B23" s="26" t="inlineStr">
        <is>
          <t>退職所得の受給に関する申告書</t>
        </is>
      </c>
      <c r="C23" s="17" t="n"/>
      <c r="D23" s="18" t="inlineStr">
        <is>
          <t>退職金がある場合のみ。未提出だと一律20.42%が源泉徴収されます。</t>
        </is>
      </c>
    </row>
    <row r="24"/>
    <row r="25" ht="24" customHeight="1">
      <c r="B25" s="3" t="inlineStr">
        <is>
          <t>③ 当事務所への返送について</t>
        </is>
      </c>
    </row>
    <row r="26" ht="53.5" customHeight="1">
      <c r="B26" s="24" t="inlineStr">
        <is>
          <t>【ファイル名のつけ方】　YYYYMMDD_顧問先名_対象者名_手続名_返送_v1.0.xlsx
　例）20260710_ABC株式会社_山田太郎_退職時 受領フォーム_返送_v1.0.xlsx
　複数名分をまとめる場合：20260710_ABC株式会社_複数名_各種手続_返送_v1.0.xlsx</t>
        </is>
      </c>
    </row>
    <row r="27" ht="53.5" customHeight="1">
      <c r="B27" s="15" t="inlineStr">
        <is>
          <t>【ご返送方法】　マイナンバー等の重要情報を含みます。メール平文への添付は避け、パスワード付きZIP（パスワードは別経路でご連絡）または当事務所のセキュア便でご返送ください。マイナンバーを別経路で回収する運用の場合は、このフォームには入力せず、会社所定の安全な経路で提出してください。</t>
        </is>
      </c>
    </row>
    <row r="28" ht="20.5" customHeight="1">
      <c r="B28" s="24" t="inlineStr">
        <is>
          <t>【送付メール文（コピペ用）】　下の枠を選択してコピーし、件名・本文にお使いください。</t>
        </is>
      </c>
    </row>
    <row r="29" ht="22" customHeight="1">
      <c r="B29" s="27" t="inlineStr">
        <is>
          <t>件名：【退職手続】退職連絡フォーム送付の件（〇〇株式会社）</t>
        </is>
      </c>
      <c r="C29" s="58" t="n"/>
      <c r="D29" s="59" t="n"/>
    </row>
    <row r="30" ht="218.5" customHeight="1">
      <c r="B30" s="28" t="inlineStr">
        <is>
          <t>みなの社会保険労務士事務所
ご担当者さま
いつもお世話になっております。
退職連絡に関する入力フォームを送付いたします。
　対象者数：　　名
　添付資料：
　未提出・後日提出の資料：
　ご連絡事項：
何卒よろしくお願いいたします。
（貴社名・ご担当者名）</t>
        </is>
      </c>
      <c r="C30" s="58" t="n"/>
      <c r="D30" s="59" t="n"/>
    </row>
    <row r="31"/>
    <row r="32" ht="24" customHeight="1">
      <c r="B32" s="3" t="inlineStr">
        <is>
          <t>④ 入力の補足（情報が揃わないとき）</t>
        </is>
      </c>
    </row>
    <row r="33" ht="53.5" customHeight="1">
      <c r="B33" s="24" t="inlineStr">
        <is>
          <t>・『不明』『後日提出』を選べる欄は、空欄のままにせず状態を残してください。後で当事務所が確認・督促できます。
・該当しない欄は『該当なし』を選ぶか空欄で構いません（条件次第で対象外＝斜線になる欄もあります）。
・色の意味：薄黄＝必須／薄青＝当事務所が補完／薄赤＝必須の未入力／薄橙＝形式の確認／斜線＝記入不要。</t>
        </is>
      </c>
    </row>
  </sheetData>
  <mergeCells count="13">
    <mergeCell ref="B33:D33"/>
    <mergeCell ref="B28:D28"/>
    <mergeCell ref="B29:D29"/>
    <mergeCell ref="B1:D1"/>
    <mergeCell ref="B32:D32"/>
    <mergeCell ref="B4:D4"/>
    <mergeCell ref="B26:D26"/>
    <mergeCell ref="B27:D27"/>
    <mergeCell ref="B2:D2"/>
    <mergeCell ref="B30:D30"/>
    <mergeCell ref="B15:D15"/>
    <mergeCell ref="B25:D25"/>
    <mergeCell ref="B16:D16"/>
  </mergeCells>
  <conditionalFormatting sqref="C12">
    <cfRule type="expression" priority="1" dxfId="0" stopIfTrue="1">
      <formula>ISNUMBER(SEARCH("提出可",C12))</formula>
    </cfRule>
    <cfRule type="expression" priority="2" dxfId="1" stopIfTrue="1">
      <formula>AND(ISNUMBER(SEARCH("未入力",C12)),ISERROR(SEARCH("提出可",C12)))</formula>
    </cfRule>
  </conditionalFormatting>
  <conditionalFormatting sqref="C10">
    <cfRule type="expression" priority="3" dxfId="1" stopIfTrue="1">
      <formula>C10&gt;0</formula>
    </cfRule>
  </conditionalFormatting>
  <conditionalFormatting sqref="C18">
    <cfRule type="expression" priority="4" dxfId="2" stopIfTrue="1">
      <formula>C18=""</formula>
    </cfRule>
    <cfRule type="expression" priority="5" dxfId="1" stopIfTrue="1">
      <formula>OR(C18="後日提出",C18="事務所で確認",C18="不明")</formula>
    </cfRule>
  </conditionalFormatting>
  <conditionalFormatting sqref="C19">
    <cfRule type="expression" priority="6" dxfId="2" stopIfTrue="1">
      <formula>C19=""</formula>
    </cfRule>
    <cfRule type="expression" priority="7" dxfId="1" stopIfTrue="1">
      <formula>OR(C19="後日提出",C19="事務所で確認",C19="不明")</formula>
    </cfRule>
  </conditionalFormatting>
  <conditionalFormatting sqref="C20">
    <cfRule type="expression" priority="8" dxfId="2" stopIfTrue="1">
      <formula>C20=""</formula>
    </cfRule>
    <cfRule type="expression" priority="9" dxfId="1" stopIfTrue="1">
      <formula>OR(C20="後日提出",C20="事務所で確認",C20="不明")</formula>
    </cfRule>
  </conditionalFormatting>
  <conditionalFormatting sqref="C21">
    <cfRule type="expression" priority="10" dxfId="2" stopIfTrue="1">
      <formula>C21=""</formula>
    </cfRule>
    <cfRule type="expression" priority="11" dxfId="1" stopIfTrue="1">
      <formula>OR(C21="後日提出",C21="事務所で確認",C21="不明")</formula>
    </cfRule>
  </conditionalFormatting>
  <conditionalFormatting sqref="C22">
    <cfRule type="expression" priority="12" dxfId="2" stopIfTrue="1">
      <formula>C22=""</formula>
    </cfRule>
    <cfRule type="expression" priority="13" dxfId="1" stopIfTrue="1">
      <formula>OR(C22="後日提出",C22="事務所で確認",C22="不明")</formula>
    </cfRule>
  </conditionalFormatting>
  <conditionalFormatting sqref="C23">
    <cfRule type="expression" priority="14" dxfId="2" stopIfTrue="1">
      <formula>C23=""</formula>
    </cfRule>
    <cfRule type="expression" priority="15" dxfId="1" stopIfTrue="1">
      <formula>OR(C23="後日提出",C23="事務所で確認",C23="不明")</formula>
    </cfRule>
  </conditionalFormatting>
  <dataValidations count="7">
    <dataValidation sqref="C8" showDropDown="0" showInputMessage="1" showErrorMessage="1" allowBlank="1" promptTitle="入力のヒント" prompt="西暦 YYYY/MM/DD。" type="whole" errorStyle="warning" operator="between">
      <formula1>1</formula1>
      <formula2>99999999</formula2>
    </dataValidation>
    <dataValidation sqref="C18" showDropDown="0" showInputMessage="1" showErrorMessage="1" allowBlank="1" promptTitle="入力のヒント" prompt="添付済／不明／後日提出／該当なし／事務所で確認 から選択。" type="list" errorStyle="stop">
      <formula1>"添付済,不明,後日提出,該当なし,事務所で確認"</formula1>
    </dataValidation>
    <dataValidation sqref="C19" showDropDown="0" showInputMessage="1" showErrorMessage="1" allowBlank="1" promptTitle="入力のヒント" prompt="添付済／不明／後日提出／該当なし／事務所で確認 から選択。" type="list" errorStyle="stop">
      <formula1>"添付済,不明,後日提出,該当なし,事務所で確認"</formula1>
    </dataValidation>
    <dataValidation sqref="C20" showDropDown="0" showInputMessage="1" showErrorMessage="1" allowBlank="1" promptTitle="入力のヒント" prompt="添付済／不明／後日提出／該当なし／事務所で確認 から選択。" type="list" errorStyle="stop">
      <formula1>"添付済,不明,後日提出,該当なし,事務所で確認"</formula1>
    </dataValidation>
    <dataValidation sqref="C21" showDropDown="0" showInputMessage="1" showErrorMessage="1" allowBlank="1" promptTitle="入力のヒント" prompt="添付済／不明／後日提出／該当なし／事務所で確認 から選択。" type="list" errorStyle="stop">
      <formula1>"添付済,不明,後日提出,該当なし,事務所で確認"</formula1>
    </dataValidation>
    <dataValidation sqref="C22" showDropDown="0" showInputMessage="1" showErrorMessage="1" allowBlank="1" promptTitle="入力のヒント" prompt="添付済／不明／後日提出／該当なし／事務所で確認 から選択。" type="list" errorStyle="stop">
      <formula1>"添付済,不明,後日提出,該当なし,事務所で確認"</formula1>
    </dataValidation>
    <dataValidation sqref="C23" showDropDown="0" showInputMessage="1" showErrorMessage="1" allowBlank="1" promptTitle="入力のヒント" prompt="添付済／不明／後日提出／該当なし／事務所で確認 から選択。" type="list" errorStyle="stop">
      <formula1>"添付済,不明,後日提出,該当なし,事務所で確認"</formula1>
    </dataValidation>
  </dataValidation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58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5" customWidth="1" min="4" max="4"/>
    <col width="17" customWidth="1" min="5" max="5"/>
    <col width="16" customWidth="1" min="6" max="6"/>
    <col width="20" customWidth="1" min="7" max="7"/>
    <col width="13" customWidth="1" min="8" max="8"/>
    <col width="12" customWidth="1" min="9" max="9"/>
    <col width="24" customWidth="1" min="10" max="10"/>
    <col width="20" customWidth="1" min="11" max="11"/>
    <col width="16" customWidth="1" min="12" max="12"/>
    <col width="18" customWidth="1" min="13" max="13"/>
    <col width="18" customWidth="1" min="14" max="14"/>
    <col width="20" customWidth="1" min="15" max="15"/>
    <col width="32" customWidth="1" min="16" max="16"/>
    <col width="42" customWidth="1" min="17" max="17"/>
    <col width="28" customWidth="1" min="18" max="18"/>
    <col width="24" customWidth="1" min="19" max="19"/>
    <col width="16" customWidth="1" min="20" max="20"/>
    <col width="28" customWidth="1" min="21" max="21"/>
    <col width="18" customWidth="1" min="22" max="22"/>
    <col width="16" customWidth="1" min="23" max="23"/>
    <col width="20" customWidth="1" min="24" max="24"/>
    <col width="17" customWidth="1" min="25" max="25"/>
    <col width="18" customWidth="1" min="26" max="26"/>
    <col width="20" customWidth="1" min="27" max="27"/>
    <col width="26" customWidth="1" min="28" max="28"/>
    <col width="34" customWidth="1" min="29" max="29"/>
    <col width="26" customWidth="1" min="30" max="30"/>
    <col width="24" customWidth="1" min="31" max="31"/>
    <col width="16" customWidth="1" min="32" max="32"/>
    <col width="20" customWidth="1" min="33" max="33"/>
    <col width="36" customWidth="1" min="34" max="34"/>
    <col width="13" customWidth="1" min="35" max="35"/>
    <col hidden="1" width="13" customWidth="1" min="36" max="36"/>
  </cols>
  <sheetData>
    <row r="1" ht="26" customHeight="1">
      <c r="A1" s="14" t="inlineStr">
        <is>
          <t>退職 情報</t>
        </is>
      </c>
      <c r="R1" s="29" t="inlineStr">
        <is>
          <t>※離職理由区分・住民税の取扱いは目安。最終判断は社労士。</t>
        </is>
      </c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</row>
    <row r="3" ht="20.5" customHeight="1">
      <c r="A3" s="31" t="inlineStr">
        <is>
          <t>入力対象 件数</t>
        </is>
      </c>
      <c r="C3" s="31" t="inlineStr">
        <is>
          <t>必須充足 件数</t>
        </is>
      </c>
      <c r="E3" s="31" t="inlineStr">
        <is>
          <t>必須未入力 残</t>
        </is>
      </c>
      <c r="G3" s="31" t="inlineStr">
        <is>
          <t>完了率</t>
        </is>
      </c>
      <c r="I3" s="30" t="n"/>
      <c r="J3" s="30" t="n"/>
      <c r="K3" s="30" t="n"/>
      <c r="L3" s="30" t="n"/>
      <c r="M3" s="30" t="n"/>
      <c r="N3" s="30" t="n"/>
    </row>
    <row r="4">
      <c r="A4" s="60">
        <f>COUNTA(A9:A58)</f>
        <v/>
      </c>
      <c r="B4" s="61" t="n"/>
      <c r="C4" s="60">
        <f>COUNTIF(AJ9:AJ58,0)</f>
        <v/>
      </c>
      <c r="D4" s="61" t="n"/>
      <c r="E4" s="60">
        <f>SUM(AJ9:AJ58)</f>
        <v/>
      </c>
      <c r="F4" s="61" t="n"/>
      <c r="G4" s="33">
        <f>IF(A4=0,0,C4/A4)</f>
        <v/>
      </c>
      <c r="H4" s="61" t="n"/>
      <c r="I4" s="30" t="n"/>
      <c r="J4" s="30" t="n"/>
      <c r="K4" s="30" t="n"/>
      <c r="L4" s="30" t="n"/>
      <c r="M4" s="30" t="n"/>
      <c r="N4" s="30" t="n"/>
    </row>
    <row r="5" ht="20" customHeight="1">
      <c r="A5" s="34">
        <f>IF(A4=0,"（このシートにはまだ入力がありません）",IF(E4=0,"✓ 必須の未入力はありません","⚠ 必須の未入力が "&amp;E4&amp;" 件あります：本体の赤いセル・右端の行ステータスをご確認ください"))</f>
        <v/>
      </c>
      <c r="M5" s="30" t="n"/>
      <c r="N5" s="30" t="n"/>
    </row>
    <row r="6" ht="22" customHeight="1">
      <c r="A6" s="35" t="inlineStr">
        <is>
          <t>対象者</t>
        </is>
      </c>
      <c r="B6" s="36" t="inlineStr">
        <is>
          <t>本人（流用）</t>
        </is>
      </c>
      <c r="C6" s="62" t="n"/>
      <c r="D6" s="62" t="n"/>
      <c r="E6" s="62" t="n"/>
      <c r="F6" s="62" t="n"/>
      <c r="G6" s="62" t="n"/>
      <c r="H6" s="62" t="n"/>
      <c r="I6" s="62" t="n"/>
      <c r="J6" s="62" t="n"/>
      <c r="K6" s="62" t="n"/>
      <c r="L6" s="61" t="n"/>
      <c r="M6" s="37" t="inlineStr">
        <is>
          <t>退職事由</t>
        </is>
      </c>
      <c r="N6" s="62" t="n"/>
      <c r="O6" s="62" t="n"/>
      <c r="P6" s="62" t="n"/>
      <c r="Q6" s="62" t="n"/>
      <c r="R6" s="62" t="n"/>
      <c r="S6" s="61" t="n"/>
      <c r="T6" s="38" t="inlineStr">
        <is>
          <t>雇用保険</t>
        </is>
      </c>
      <c r="U6" s="62" t="n"/>
      <c r="V6" s="62" t="n"/>
      <c r="W6" s="62" t="n"/>
      <c r="X6" s="62" t="n"/>
      <c r="Y6" s="61" t="n"/>
      <c r="Z6" s="39" t="inlineStr">
        <is>
          <t>社会保険</t>
        </is>
      </c>
      <c r="AA6" s="61" t="n"/>
      <c r="AB6" s="40" t="inlineStr">
        <is>
          <t>住民税</t>
        </is>
      </c>
      <c r="AC6" s="62" t="n"/>
      <c r="AD6" s="62" t="n"/>
      <c r="AE6" s="61" t="n"/>
      <c r="AF6" s="41" t="inlineStr">
        <is>
          <t>退職金・税</t>
        </is>
      </c>
      <c r="AG6" s="61" t="n"/>
      <c r="AH6" s="35" t="inlineStr">
        <is>
          <t>その他</t>
        </is>
      </c>
    </row>
    <row r="7" ht="60" customHeight="1">
      <c r="A7" s="6" t="inlineStr">
        <is>
          <t>社員番号
【必】</t>
        </is>
      </c>
      <c r="B7" s="9" t="inlineStr">
        <is>
          <t>氏名（漢字）
【流用】</t>
        </is>
      </c>
      <c r="C7" s="9" t="inlineStr">
        <is>
          <t>氏名（フリガナ）
【流用】</t>
        </is>
      </c>
      <c r="D7" s="9" t="inlineStr">
        <is>
          <t>生年月日
【流用】</t>
        </is>
      </c>
      <c r="E7" s="9" t="inlineStr">
        <is>
          <t>マイナンバー(12桁)
【流用】</t>
        </is>
      </c>
      <c r="F7" s="9" t="inlineStr">
        <is>
          <t>基礎年金番号(10桁)
【流用】</t>
        </is>
      </c>
      <c r="G7" s="9" t="inlineStr">
        <is>
          <t>雇用保険被保険者番号(11桁)
【流用】</t>
        </is>
      </c>
      <c r="H7" s="9" t="inlineStr">
        <is>
          <t>郵便番号
【流用】</t>
        </is>
      </c>
      <c r="I7" s="9" t="inlineStr">
        <is>
          <t>都道府県
【流用】</t>
        </is>
      </c>
      <c r="J7" s="9" t="inlineStr">
        <is>
          <t>市区町村以下
【流用】</t>
        </is>
      </c>
      <c r="K7" s="9" t="inlineStr">
        <is>
          <t>建物名・部屋番号
【流用】</t>
        </is>
      </c>
      <c r="L7" s="9" t="inlineStr">
        <is>
          <t>電話番号
【流用】</t>
        </is>
      </c>
      <c r="M7" s="6" t="inlineStr">
        <is>
          <t>離職日（退職日）
【必】</t>
        </is>
      </c>
      <c r="N7" s="8" t="inlineStr">
        <is>
          <t>資格喪失日（自動）
【自動】</t>
        </is>
      </c>
      <c r="O7" s="6" t="inlineStr">
        <is>
          <t>退職理由
【必】</t>
        </is>
      </c>
      <c r="P7" s="6" t="inlineStr">
        <is>
          <t>離職理由区分（目安）
【必】</t>
        </is>
      </c>
      <c r="Q7" s="6" t="inlineStr">
        <is>
          <t>離職理由の具体的事情
【必】</t>
        </is>
      </c>
      <c r="R7" s="7" t="inlineStr">
        <is>
          <t>契約更新条項（有期契約のみ）
【任】</t>
        </is>
      </c>
      <c r="S7" s="7" t="inlineStr">
        <is>
          <t>本人の更新希望（有期契約のみ）
【任】</t>
        </is>
      </c>
      <c r="T7" s="6" t="inlineStr">
        <is>
          <t>離職票の交付希望
【必】</t>
        </is>
      </c>
      <c r="U7" s="7" t="inlineStr">
        <is>
          <t>離職票の送付先（転居する場合）
【任】</t>
        </is>
      </c>
      <c r="V7" s="6" t="inlineStr">
        <is>
          <t>賃金台帳・出勤簿の添付
【必】</t>
        </is>
      </c>
      <c r="W7" s="7" t="inlineStr">
        <is>
          <t>賃金締切日
【任】</t>
        </is>
      </c>
      <c r="X7" s="7" t="inlineStr">
        <is>
          <t>離職前賃金（直近1か月・円）
【任】</t>
        </is>
      </c>
      <c r="Y7" s="7" t="inlineStr">
        <is>
          <t>直近の賞与（円）
【任】</t>
        </is>
      </c>
      <c r="Z7" s="6" t="inlineStr">
        <is>
          <t>健康保険証の回収
【必】</t>
        </is>
      </c>
      <c r="AA7" s="6" t="inlineStr">
        <is>
          <t>退職後の希望
【必】</t>
        </is>
      </c>
      <c r="AB7" s="6" t="inlineStr">
        <is>
          <t>住民税の徴収方法（希望）
【必】</t>
        </is>
      </c>
      <c r="AC7" s="8" t="inlineStr">
        <is>
          <t>住民税の取扱い目安（自動）
【自動】</t>
        </is>
      </c>
      <c r="AD7" s="7" t="inlineStr">
        <is>
          <t>転職先（特別徴収を継続する場合）
【任】</t>
        </is>
      </c>
      <c r="AE7" s="7" t="inlineStr">
        <is>
          <t>課税市区町村（異動届の提出先）
【任】</t>
        </is>
      </c>
      <c r="AF7" s="7" t="inlineStr">
        <is>
          <t>退職金の支給予定
【任】</t>
        </is>
      </c>
      <c r="AG7" s="7" t="inlineStr">
        <is>
          <t>退職所得申告書の受領
【任】</t>
        </is>
      </c>
      <c r="AH7" s="7" t="inlineStr">
        <is>
          <t>備考（連絡事項）
【任】</t>
        </is>
      </c>
      <c r="AI7" s="25" t="inlineStr">
        <is>
          <t>行ステータス
（CSV可否）</t>
        </is>
      </c>
    </row>
    <row r="8" ht="37" customHeight="1">
      <c r="A8" s="42" t="inlineStr">
        <is>
          <t>例</t>
        </is>
      </c>
      <c r="B8" s="43" t="n"/>
      <c r="C8" s="43" t="n"/>
      <c r="D8" s="63" t="n"/>
      <c r="E8" s="45" t="n"/>
      <c r="F8" s="45" t="n"/>
      <c r="G8" s="45" t="n"/>
      <c r="H8" s="45" t="n"/>
      <c r="I8" s="43" t="n"/>
      <c r="J8" s="43" t="n"/>
      <c r="K8" s="43" t="n"/>
      <c r="L8" s="43" t="n"/>
      <c r="M8" s="63" t="n">
        <v>46234</v>
      </c>
      <c r="N8" s="63">
        <f>IF($M8="","",$M8+1)</f>
        <v/>
      </c>
      <c r="O8" s="43" t="inlineStr">
        <is>
          <t>自己都合</t>
        </is>
      </c>
      <c r="P8" s="43" t="inlineStr">
        <is>
          <t>一般（自己都合等）</t>
        </is>
      </c>
      <c r="Q8" s="43" t="inlineStr">
        <is>
          <t>転職のため（一身上の都合）。</t>
        </is>
      </c>
      <c r="R8" s="43" t="inlineStr">
        <is>
          <t>該当なし（無期契約）</t>
        </is>
      </c>
      <c r="S8" s="43" t="inlineStr">
        <is>
          <t>該当なし</t>
        </is>
      </c>
      <c r="T8" s="43" t="inlineStr">
        <is>
          <t>あり</t>
        </is>
      </c>
      <c r="U8" s="43" t="n"/>
      <c r="V8" s="43" t="inlineStr">
        <is>
          <t>あり</t>
        </is>
      </c>
      <c r="W8" s="43" t="inlineStr">
        <is>
          <t>毎月末日</t>
        </is>
      </c>
      <c r="X8" s="46" t="n">
        <v>300000</v>
      </c>
      <c r="Y8" s="46" t="n">
        <v>0</v>
      </c>
      <c r="Z8" s="43" t="inlineStr">
        <is>
          <t>回収済</t>
        </is>
      </c>
      <c r="AA8" s="43" t="inlineStr">
        <is>
          <t>家族の扶養に入る</t>
        </is>
      </c>
      <c r="AB8" s="43" t="inlineStr">
        <is>
          <t>普通徴収へ切替（自分で納付）</t>
        </is>
      </c>
      <c r="AC8" s="43">
        <f>IF($M8="","",IF(MONTH($M8)&lt;=4,"1〜4月退職：原則 一括徴収（5月分まで）",IF(MONTH($M8)=5,"5月退職：最終月（通常徴収で完了）","6〜12月退職：本人希望で一括／なければ普通徴収")))</f>
        <v/>
      </c>
      <c r="AD8" s="43" t="n"/>
      <c r="AE8" s="43" t="inlineStr">
        <is>
          <t>千代田区</t>
        </is>
      </c>
      <c r="AF8" s="43" t="inlineStr">
        <is>
          <t>なし</t>
        </is>
      </c>
      <c r="AG8" s="43" t="inlineStr">
        <is>
          <t>該当なし</t>
        </is>
      </c>
      <c r="AH8" s="43" t="inlineStr">
        <is>
          <t>← この行は記入例です（編集不可）</t>
        </is>
      </c>
    </row>
    <row r="9">
      <c r="A9" s="47" t="n"/>
      <c r="B9" s="48" t="n"/>
      <c r="C9" s="48" t="n"/>
      <c r="D9" s="64" t="n"/>
      <c r="E9" s="50" t="n"/>
      <c r="F9" s="50" t="n"/>
      <c r="G9" s="50" t="n"/>
      <c r="H9" s="50" t="n"/>
      <c r="I9" s="48" t="n"/>
      <c r="J9" s="48" t="n"/>
      <c r="K9" s="48" t="n"/>
      <c r="L9" s="48" t="n"/>
      <c r="M9" s="56" t="n"/>
      <c r="N9" s="65">
        <f>IF($M9="","",$M9+1)</f>
        <v/>
      </c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52" t="n"/>
      <c r="Y9" s="52" t="n"/>
      <c r="Z9" s="17" t="n"/>
      <c r="AA9" s="17" t="n"/>
      <c r="AB9" s="17" t="n"/>
      <c r="AC9" s="23">
        <f>IF($M9="","",IF(MONTH($M9)&lt;=4,"1〜4月退職：原則 一括徴収（5月分まで）",IF(MONTH($M9)=5,"5月退職：最終月（通常徴収で完了）","6〜12月退職：本人希望で一括／なければ普通徴収")))</f>
        <v/>
      </c>
      <c r="AD9" s="17" t="n"/>
      <c r="AE9" s="17" t="n"/>
      <c r="AF9" s="17" t="n"/>
      <c r="AG9" s="17" t="n"/>
      <c r="AH9" s="17" t="n"/>
      <c r="AI9" s="53">
        <f>IF($A9="","",IF(AJ9&gt;0,"未入力","CSV可"))</f>
        <v/>
      </c>
      <c r="AJ9">
        <f>IF($A9="","",IF($A9="",1,0)+IF($M9="",1,0)+IF($O9="",1,0)+IF($P9="",1,0)+IF($Q9="",1,0)+IF($T9="",1,0)+IF($V9="",1,0)+IF($Z9="",1,0)+IF($AA9="",1,0)+IF($AB9="",1,0)+IF(AND($AB9="特別徴収を継続（転職先へ引継ぎ）",$AD9=""),1,0)+IF(AND($O9="契約期間満了",$R9=""),1,0)+IF(AND($O9="契約期間満了",$S9=""),1,0))</f>
        <v/>
      </c>
    </row>
    <row r="10">
      <c r="A10" s="47" t="n"/>
      <c r="B10" s="48" t="n"/>
      <c r="C10" s="48" t="n"/>
      <c r="D10" s="64" t="n"/>
      <c r="E10" s="50" t="n"/>
      <c r="F10" s="50" t="n"/>
      <c r="G10" s="50" t="n"/>
      <c r="H10" s="50" t="n"/>
      <c r="I10" s="48" t="n"/>
      <c r="J10" s="48" t="n"/>
      <c r="K10" s="48" t="n"/>
      <c r="L10" s="48" t="n"/>
      <c r="M10" s="56" t="n"/>
      <c r="N10" s="65">
        <f>IF($M10="","",$M10+1)</f>
        <v/>
      </c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52" t="n"/>
      <c r="Y10" s="52" t="n"/>
      <c r="Z10" s="17" t="n"/>
      <c r="AA10" s="17" t="n"/>
      <c r="AB10" s="17" t="n"/>
      <c r="AC10" s="23">
        <f>IF($M10="","",IF(MONTH($M10)&lt;=4,"1〜4月退職：原則 一括徴収（5月分まで）",IF(MONTH($M10)=5,"5月退職：最終月（通常徴収で完了）","6〜12月退職：本人希望で一括／なければ普通徴収")))</f>
        <v/>
      </c>
      <c r="AD10" s="17" t="n"/>
      <c r="AE10" s="17" t="n"/>
      <c r="AF10" s="17" t="n"/>
      <c r="AG10" s="17" t="n"/>
      <c r="AH10" s="17" t="n"/>
      <c r="AI10" s="53">
        <f>IF($A10="","",IF(AJ10&gt;0,"未入力","CSV可"))</f>
        <v/>
      </c>
      <c r="AJ10">
        <f>IF($A10="","",IF($A10="",1,0)+IF($M10="",1,0)+IF($O10="",1,0)+IF($P10="",1,0)+IF($Q10="",1,0)+IF($T10="",1,0)+IF($V10="",1,0)+IF($Z10="",1,0)+IF($AA10="",1,0)+IF($AB10="",1,0)+IF(AND($AB10="特別徴収を継続（転職先へ引継ぎ）",$AD10=""),1,0)+IF(AND($O10="契約期間満了",$R10=""),1,0)+IF(AND($O10="契約期間満了",$S10=""),1,0))</f>
        <v/>
      </c>
    </row>
    <row r="11">
      <c r="A11" s="47" t="n"/>
      <c r="B11" s="48" t="n"/>
      <c r="C11" s="48" t="n"/>
      <c r="D11" s="64" t="n"/>
      <c r="E11" s="50" t="n"/>
      <c r="F11" s="50" t="n"/>
      <c r="G11" s="50" t="n"/>
      <c r="H11" s="50" t="n"/>
      <c r="I11" s="48" t="n"/>
      <c r="J11" s="48" t="n"/>
      <c r="K11" s="48" t="n"/>
      <c r="L11" s="48" t="n"/>
      <c r="M11" s="56" t="n"/>
      <c r="N11" s="65">
        <f>IF($M11="","",$M11+1)</f>
        <v/>
      </c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52" t="n"/>
      <c r="Y11" s="52" t="n"/>
      <c r="Z11" s="17" t="n"/>
      <c r="AA11" s="17" t="n"/>
      <c r="AB11" s="17" t="n"/>
      <c r="AC11" s="23">
        <f>IF($M11="","",IF(MONTH($M11)&lt;=4,"1〜4月退職：原則 一括徴収（5月分まで）",IF(MONTH($M11)=5,"5月退職：最終月（通常徴収で完了）","6〜12月退職：本人希望で一括／なければ普通徴収")))</f>
        <v/>
      </c>
      <c r="AD11" s="17" t="n"/>
      <c r="AE11" s="17" t="n"/>
      <c r="AF11" s="17" t="n"/>
      <c r="AG11" s="17" t="n"/>
      <c r="AH11" s="17" t="n"/>
      <c r="AI11" s="53">
        <f>IF($A11="","",IF(AJ11&gt;0,"未入力","CSV可"))</f>
        <v/>
      </c>
      <c r="AJ11">
        <f>IF($A11="","",IF($A11="",1,0)+IF($M11="",1,0)+IF($O11="",1,0)+IF($P11="",1,0)+IF($Q11="",1,0)+IF($T11="",1,0)+IF($V11="",1,0)+IF($Z11="",1,0)+IF($AA11="",1,0)+IF($AB11="",1,0)+IF(AND($AB11="特別徴収を継続（転職先へ引継ぎ）",$AD11=""),1,0)+IF(AND($O11="契約期間満了",$R11=""),1,0)+IF(AND($O11="契約期間満了",$S11=""),1,0))</f>
        <v/>
      </c>
    </row>
    <row r="12">
      <c r="A12" s="47" t="n"/>
      <c r="B12" s="48" t="n"/>
      <c r="C12" s="48" t="n"/>
      <c r="D12" s="64" t="n"/>
      <c r="E12" s="50" t="n"/>
      <c r="F12" s="50" t="n"/>
      <c r="G12" s="50" t="n"/>
      <c r="H12" s="50" t="n"/>
      <c r="I12" s="48" t="n"/>
      <c r="J12" s="48" t="n"/>
      <c r="K12" s="48" t="n"/>
      <c r="L12" s="48" t="n"/>
      <c r="M12" s="56" t="n"/>
      <c r="N12" s="65">
        <f>IF($M12="","",$M12+1)</f>
        <v/>
      </c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52" t="n"/>
      <c r="Y12" s="52" t="n"/>
      <c r="Z12" s="17" t="n"/>
      <c r="AA12" s="17" t="n"/>
      <c r="AB12" s="17" t="n"/>
      <c r="AC12" s="23">
        <f>IF($M12="","",IF(MONTH($M12)&lt;=4,"1〜4月退職：原則 一括徴収（5月分まで）",IF(MONTH($M12)=5,"5月退職：最終月（通常徴収で完了）","6〜12月退職：本人希望で一括／なければ普通徴収")))</f>
        <v/>
      </c>
      <c r="AD12" s="17" t="n"/>
      <c r="AE12" s="17" t="n"/>
      <c r="AF12" s="17" t="n"/>
      <c r="AG12" s="17" t="n"/>
      <c r="AH12" s="17" t="n"/>
      <c r="AI12" s="53">
        <f>IF($A12="","",IF(AJ12&gt;0,"未入力","CSV可"))</f>
        <v/>
      </c>
      <c r="AJ12">
        <f>IF($A12="","",IF($A12="",1,0)+IF($M12="",1,0)+IF($O12="",1,0)+IF($P12="",1,0)+IF($Q12="",1,0)+IF($T12="",1,0)+IF($V12="",1,0)+IF($Z12="",1,0)+IF($AA12="",1,0)+IF($AB12="",1,0)+IF(AND($AB12="特別徴収を継続（転職先へ引継ぎ）",$AD12=""),1,0)+IF(AND($O12="契約期間満了",$R12=""),1,0)+IF(AND($O12="契約期間満了",$S12=""),1,0))</f>
        <v/>
      </c>
    </row>
    <row r="13">
      <c r="A13" s="47" t="n"/>
      <c r="B13" s="48" t="n"/>
      <c r="C13" s="48" t="n"/>
      <c r="D13" s="64" t="n"/>
      <c r="E13" s="50" t="n"/>
      <c r="F13" s="50" t="n"/>
      <c r="G13" s="50" t="n"/>
      <c r="H13" s="50" t="n"/>
      <c r="I13" s="48" t="n"/>
      <c r="J13" s="48" t="n"/>
      <c r="K13" s="48" t="n"/>
      <c r="L13" s="48" t="n"/>
      <c r="M13" s="56" t="n"/>
      <c r="N13" s="65">
        <f>IF($M13="","",$M13+1)</f>
        <v/>
      </c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52" t="n"/>
      <c r="Y13" s="52" t="n"/>
      <c r="Z13" s="17" t="n"/>
      <c r="AA13" s="17" t="n"/>
      <c r="AB13" s="17" t="n"/>
      <c r="AC13" s="23">
        <f>IF($M13="","",IF(MONTH($M13)&lt;=4,"1〜4月退職：原則 一括徴収（5月分まで）",IF(MONTH($M13)=5,"5月退職：最終月（通常徴収で完了）","6〜12月退職：本人希望で一括／なければ普通徴収")))</f>
        <v/>
      </c>
      <c r="AD13" s="17" t="n"/>
      <c r="AE13" s="17" t="n"/>
      <c r="AF13" s="17" t="n"/>
      <c r="AG13" s="17" t="n"/>
      <c r="AH13" s="17" t="n"/>
      <c r="AI13" s="53">
        <f>IF($A13="","",IF(AJ13&gt;0,"未入力","CSV可"))</f>
        <v/>
      </c>
      <c r="AJ13">
        <f>IF($A13="","",IF($A13="",1,0)+IF($M13="",1,0)+IF($O13="",1,0)+IF($P13="",1,0)+IF($Q13="",1,0)+IF($T13="",1,0)+IF($V13="",1,0)+IF($Z13="",1,0)+IF($AA13="",1,0)+IF($AB13="",1,0)+IF(AND($AB13="特別徴収を継続（転職先へ引継ぎ）",$AD13=""),1,0)+IF(AND($O13="契約期間満了",$R13=""),1,0)+IF(AND($O13="契約期間満了",$S13=""),1,0))</f>
        <v/>
      </c>
    </row>
    <row r="14">
      <c r="A14" s="47" t="n"/>
      <c r="B14" s="48" t="n"/>
      <c r="C14" s="48" t="n"/>
      <c r="D14" s="64" t="n"/>
      <c r="E14" s="50" t="n"/>
      <c r="F14" s="50" t="n"/>
      <c r="G14" s="50" t="n"/>
      <c r="H14" s="50" t="n"/>
      <c r="I14" s="48" t="n"/>
      <c r="J14" s="48" t="n"/>
      <c r="K14" s="48" t="n"/>
      <c r="L14" s="48" t="n"/>
      <c r="M14" s="56" t="n"/>
      <c r="N14" s="65">
        <f>IF($M14="","",$M14+1)</f>
        <v/>
      </c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52" t="n"/>
      <c r="Y14" s="52" t="n"/>
      <c r="Z14" s="17" t="n"/>
      <c r="AA14" s="17" t="n"/>
      <c r="AB14" s="17" t="n"/>
      <c r="AC14" s="23">
        <f>IF($M14="","",IF(MONTH($M14)&lt;=4,"1〜4月退職：原則 一括徴収（5月分まで）",IF(MONTH($M14)=5,"5月退職：最終月（通常徴収で完了）","6〜12月退職：本人希望で一括／なければ普通徴収")))</f>
        <v/>
      </c>
      <c r="AD14" s="17" t="n"/>
      <c r="AE14" s="17" t="n"/>
      <c r="AF14" s="17" t="n"/>
      <c r="AG14" s="17" t="n"/>
      <c r="AH14" s="17" t="n"/>
      <c r="AI14" s="53">
        <f>IF($A14="","",IF(AJ14&gt;0,"未入力","CSV可"))</f>
        <v/>
      </c>
      <c r="AJ14">
        <f>IF($A14="","",IF($A14="",1,0)+IF($M14="",1,0)+IF($O14="",1,0)+IF($P14="",1,0)+IF($Q14="",1,0)+IF($T14="",1,0)+IF($V14="",1,0)+IF($Z14="",1,0)+IF($AA14="",1,0)+IF($AB14="",1,0)+IF(AND($AB14="特別徴収を継続（転職先へ引継ぎ）",$AD14=""),1,0)+IF(AND($O14="契約期間満了",$R14=""),1,0)+IF(AND($O14="契約期間満了",$S14=""),1,0))</f>
        <v/>
      </c>
    </row>
    <row r="15">
      <c r="A15" s="47" t="n"/>
      <c r="B15" s="48" t="n"/>
      <c r="C15" s="48" t="n"/>
      <c r="D15" s="64" t="n"/>
      <c r="E15" s="50" t="n"/>
      <c r="F15" s="50" t="n"/>
      <c r="G15" s="50" t="n"/>
      <c r="H15" s="50" t="n"/>
      <c r="I15" s="48" t="n"/>
      <c r="J15" s="48" t="n"/>
      <c r="K15" s="48" t="n"/>
      <c r="L15" s="48" t="n"/>
      <c r="M15" s="56" t="n"/>
      <c r="N15" s="65">
        <f>IF($M15="","",$M15+1)</f>
        <v/>
      </c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52" t="n"/>
      <c r="Y15" s="52" t="n"/>
      <c r="Z15" s="17" t="n"/>
      <c r="AA15" s="17" t="n"/>
      <c r="AB15" s="17" t="n"/>
      <c r="AC15" s="23">
        <f>IF($M15="","",IF(MONTH($M15)&lt;=4,"1〜4月退職：原則 一括徴収（5月分まで）",IF(MONTH($M15)=5,"5月退職：最終月（通常徴収で完了）","6〜12月退職：本人希望で一括／なければ普通徴収")))</f>
        <v/>
      </c>
      <c r="AD15" s="17" t="n"/>
      <c r="AE15" s="17" t="n"/>
      <c r="AF15" s="17" t="n"/>
      <c r="AG15" s="17" t="n"/>
      <c r="AH15" s="17" t="n"/>
      <c r="AI15" s="53">
        <f>IF($A15="","",IF(AJ15&gt;0,"未入力","CSV可"))</f>
        <v/>
      </c>
      <c r="AJ15">
        <f>IF($A15="","",IF($A15="",1,0)+IF($M15="",1,0)+IF($O15="",1,0)+IF($P15="",1,0)+IF($Q15="",1,0)+IF($T15="",1,0)+IF($V15="",1,0)+IF($Z15="",1,0)+IF($AA15="",1,0)+IF($AB15="",1,0)+IF(AND($AB15="特別徴収を継続（転職先へ引継ぎ）",$AD15=""),1,0)+IF(AND($O15="契約期間満了",$R15=""),1,0)+IF(AND($O15="契約期間満了",$S15=""),1,0))</f>
        <v/>
      </c>
    </row>
    <row r="16">
      <c r="A16" s="47" t="n"/>
      <c r="B16" s="48" t="n"/>
      <c r="C16" s="48" t="n"/>
      <c r="D16" s="64" t="n"/>
      <c r="E16" s="50" t="n"/>
      <c r="F16" s="50" t="n"/>
      <c r="G16" s="50" t="n"/>
      <c r="H16" s="50" t="n"/>
      <c r="I16" s="48" t="n"/>
      <c r="J16" s="48" t="n"/>
      <c r="K16" s="48" t="n"/>
      <c r="L16" s="48" t="n"/>
      <c r="M16" s="56" t="n"/>
      <c r="N16" s="65">
        <f>IF($M16="","",$M16+1)</f>
        <v/>
      </c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52" t="n"/>
      <c r="Y16" s="52" t="n"/>
      <c r="Z16" s="17" t="n"/>
      <c r="AA16" s="17" t="n"/>
      <c r="AB16" s="17" t="n"/>
      <c r="AC16" s="23">
        <f>IF($M16="","",IF(MONTH($M16)&lt;=4,"1〜4月退職：原則 一括徴収（5月分まで）",IF(MONTH($M16)=5,"5月退職：最終月（通常徴収で完了）","6〜12月退職：本人希望で一括／なければ普通徴収")))</f>
        <v/>
      </c>
      <c r="AD16" s="17" t="n"/>
      <c r="AE16" s="17" t="n"/>
      <c r="AF16" s="17" t="n"/>
      <c r="AG16" s="17" t="n"/>
      <c r="AH16" s="17" t="n"/>
      <c r="AI16" s="53">
        <f>IF($A16="","",IF(AJ16&gt;0,"未入力","CSV可"))</f>
        <v/>
      </c>
      <c r="AJ16">
        <f>IF($A16="","",IF($A16="",1,0)+IF($M16="",1,0)+IF($O16="",1,0)+IF($P16="",1,0)+IF($Q16="",1,0)+IF($T16="",1,0)+IF($V16="",1,0)+IF($Z16="",1,0)+IF($AA16="",1,0)+IF($AB16="",1,0)+IF(AND($AB16="特別徴収を継続（転職先へ引継ぎ）",$AD16=""),1,0)+IF(AND($O16="契約期間満了",$R16=""),1,0)+IF(AND($O16="契約期間満了",$S16=""),1,0))</f>
        <v/>
      </c>
    </row>
    <row r="17">
      <c r="A17" s="47" t="n"/>
      <c r="B17" s="48" t="n"/>
      <c r="C17" s="48" t="n"/>
      <c r="D17" s="64" t="n"/>
      <c r="E17" s="50" t="n"/>
      <c r="F17" s="50" t="n"/>
      <c r="G17" s="50" t="n"/>
      <c r="H17" s="50" t="n"/>
      <c r="I17" s="48" t="n"/>
      <c r="J17" s="48" t="n"/>
      <c r="K17" s="48" t="n"/>
      <c r="L17" s="48" t="n"/>
      <c r="M17" s="56" t="n"/>
      <c r="N17" s="65">
        <f>IF($M17="","",$M17+1)</f>
        <v/>
      </c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52" t="n"/>
      <c r="Y17" s="52" t="n"/>
      <c r="Z17" s="17" t="n"/>
      <c r="AA17" s="17" t="n"/>
      <c r="AB17" s="17" t="n"/>
      <c r="AC17" s="23">
        <f>IF($M17="","",IF(MONTH($M17)&lt;=4,"1〜4月退職：原則 一括徴収（5月分まで）",IF(MONTH($M17)=5,"5月退職：最終月（通常徴収で完了）","6〜12月退職：本人希望で一括／なければ普通徴収")))</f>
        <v/>
      </c>
      <c r="AD17" s="17" t="n"/>
      <c r="AE17" s="17" t="n"/>
      <c r="AF17" s="17" t="n"/>
      <c r="AG17" s="17" t="n"/>
      <c r="AH17" s="17" t="n"/>
      <c r="AI17" s="53">
        <f>IF($A17="","",IF(AJ17&gt;0,"未入力","CSV可"))</f>
        <v/>
      </c>
      <c r="AJ17">
        <f>IF($A17="","",IF($A17="",1,0)+IF($M17="",1,0)+IF($O17="",1,0)+IF($P17="",1,0)+IF($Q17="",1,0)+IF($T17="",1,0)+IF($V17="",1,0)+IF($Z17="",1,0)+IF($AA17="",1,0)+IF($AB17="",1,0)+IF(AND($AB17="特別徴収を継続（転職先へ引継ぎ）",$AD17=""),1,0)+IF(AND($O17="契約期間満了",$R17=""),1,0)+IF(AND($O17="契約期間満了",$S17=""),1,0))</f>
        <v/>
      </c>
    </row>
    <row r="18">
      <c r="A18" s="47" t="n"/>
      <c r="B18" s="48" t="n"/>
      <c r="C18" s="48" t="n"/>
      <c r="D18" s="64" t="n"/>
      <c r="E18" s="50" t="n"/>
      <c r="F18" s="50" t="n"/>
      <c r="G18" s="50" t="n"/>
      <c r="H18" s="50" t="n"/>
      <c r="I18" s="48" t="n"/>
      <c r="J18" s="48" t="n"/>
      <c r="K18" s="48" t="n"/>
      <c r="L18" s="48" t="n"/>
      <c r="M18" s="56" t="n"/>
      <c r="N18" s="65">
        <f>IF($M18="","",$M18+1)</f>
        <v/>
      </c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52" t="n"/>
      <c r="Y18" s="52" t="n"/>
      <c r="Z18" s="17" t="n"/>
      <c r="AA18" s="17" t="n"/>
      <c r="AB18" s="17" t="n"/>
      <c r="AC18" s="23">
        <f>IF($M18="","",IF(MONTH($M18)&lt;=4,"1〜4月退職：原則 一括徴収（5月分まで）",IF(MONTH($M18)=5,"5月退職：最終月（通常徴収で完了）","6〜12月退職：本人希望で一括／なければ普通徴収")))</f>
        <v/>
      </c>
      <c r="AD18" s="17" t="n"/>
      <c r="AE18" s="17" t="n"/>
      <c r="AF18" s="17" t="n"/>
      <c r="AG18" s="17" t="n"/>
      <c r="AH18" s="17" t="n"/>
      <c r="AI18" s="53">
        <f>IF($A18="","",IF(AJ18&gt;0,"未入力","CSV可"))</f>
        <v/>
      </c>
      <c r="AJ18">
        <f>IF($A18="","",IF($A18="",1,0)+IF($M18="",1,0)+IF($O18="",1,0)+IF($P18="",1,0)+IF($Q18="",1,0)+IF($T18="",1,0)+IF($V18="",1,0)+IF($Z18="",1,0)+IF($AA18="",1,0)+IF($AB18="",1,0)+IF(AND($AB18="特別徴収を継続（転職先へ引継ぎ）",$AD18=""),1,0)+IF(AND($O18="契約期間満了",$R18=""),1,0)+IF(AND($O18="契約期間満了",$S18=""),1,0))</f>
        <v/>
      </c>
    </row>
    <row r="19">
      <c r="A19" s="47" t="n"/>
      <c r="B19" s="48" t="n"/>
      <c r="C19" s="48" t="n"/>
      <c r="D19" s="64" t="n"/>
      <c r="E19" s="50" t="n"/>
      <c r="F19" s="50" t="n"/>
      <c r="G19" s="50" t="n"/>
      <c r="H19" s="50" t="n"/>
      <c r="I19" s="48" t="n"/>
      <c r="J19" s="48" t="n"/>
      <c r="K19" s="48" t="n"/>
      <c r="L19" s="48" t="n"/>
      <c r="M19" s="56" t="n"/>
      <c r="N19" s="65">
        <f>IF($M19="","",$M19+1)</f>
        <v/>
      </c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52" t="n"/>
      <c r="Y19" s="52" t="n"/>
      <c r="Z19" s="17" t="n"/>
      <c r="AA19" s="17" t="n"/>
      <c r="AB19" s="17" t="n"/>
      <c r="AC19" s="23">
        <f>IF($M19="","",IF(MONTH($M19)&lt;=4,"1〜4月退職：原則 一括徴収（5月分まで）",IF(MONTH($M19)=5,"5月退職：最終月（通常徴収で完了）","6〜12月退職：本人希望で一括／なければ普通徴収")))</f>
        <v/>
      </c>
      <c r="AD19" s="17" t="n"/>
      <c r="AE19" s="17" t="n"/>
      <c r="AF19" s="17" t="n"/>
      <c r="AG19" s="17" t="n"/>
      <c r="AH19" s="17" t="n"/>
      <c r="AI19" s="53">
        <f>IF($A19="","",IF(AJ19&gt;0,"未入力","CSV可"))</f>
        <v/>
      </c>
      <c r="AJ19">
        <f>IF($A19="","",IF($A19="",1,0)+IF($M19="",1,0)+IF($O19="",1,0)+IF($P19="",1,0)+IF($Q19="",1,0)+IF($T19="",1,0)+IF($V19="",1,0)+IF($Z19="",1,0)+IF($AA19="",1,0)+IF($AB19="",1,0)+IF(AND($AB19="特別徴収を継続（転職先へ引継ぎ）",$AD19=""),1,0)+IF(AND($O19="契約期間満了",$R19=""),1,0)+IF(AND($O19="契約期間満了",$S19=""),1,0))</f>
        <v/>
      </c>
    </row>
    <row r="20">
      <c r="A20" s="47" t="n"/>
      <c r="B20" s="48" t="n"/>
      <c r="C20" s="48" t="n"/>
      <c r="D20" s="64" t="n"/>
      <c r="E20" s="50" t="n"/>
      <c r="F20" s="50" t="n"/>
      <c r="G20" s="50" t="n"/>
      <c r="H20" s="50" t="n"/>
      <c r="I20" s="48" t="n"/>
      <c r="J20" s="48" t="n"/>
      <c r="K20" s="48" t="n"/>
      <c r="L20" s="48" t="n"/>
      <c r="M20" s="56" t="n"/>
      <c r="N20" s="65">
        <f>IF($M20="","",$M20+1)</f>
        <v/>
      </c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52" t="n"/>
      <c r="Y20" s="52" t="n"/>
      <c r="Z20" s="17" t="n"/>
      <c r="AA20" s="17" t="n"/>
      <c r="AB20" s="17" t="n"/>
      <c r="AC20" s="23">
        <f>IF($M20="","",IF(MONTH($M20)&lt;=4,"1〜4月退職：原則 一括徴収（5月分まで）",IF(MONTH($M20)=5,"5月退職：最終月（通常徴収で完了）","6〜12月退職：本人希望で一括／なければ普通徴収")))</f>
        <v/>
      </c>
      <c r="AD20" s="17" t="n"/>
      <c r="AE20" s="17" t="n"/>
      <c r="AF20" s="17" t="n"/>
      <c r="AG20" s="17" t="n"/>
      <c r="AH20" s="17" t="n"/>
      <c r="AI20" s="53">
        <f>IF($A20="","",IF(AJ20&gt;0,"未入力","CSV可"))</f>
        <v/>
      </c>
      <c r="AJ20">
        <f>IF($A20="","",IF($A20="",1,0)+IF($M20="",1,0)+IF($O20="",1,0)+IF($P20="",1,0)+IF($Q20="",1,0)+IF($T20="",1,0)+IF($V20="",1,0)+IF($Z20="",1,0)+IF($AA20="",1,0)+IF($AB20="",1,0)+IF(AND($AB20="特別徴収を継続（転職先へ引継ぎ）",$AD20=""),1,0)+IF(AND($O20="契約期間満了",$R20=""),1,0)+IF(AND($O20="契約期間満了",$S20=""),1,0))</f>
        <v/>
      </c>
    </row>
    <row r="21">
      <c r="A21" s="47" t="n"/>
      <c r="B21" s="48" t="n"/>
      <c r="C21" s="48" t="n"/>
      <c r="D21" s="64" t="n"/>
      <c r="E21" s="50" t="n"/>
      <c r="F21" s="50" t="n"/>
      <c r="G21" s="50" t="n"/>
      <c r="H21" s="50" t="n"/>
      <c r="I21" s="48" t="n"/>
      <c r="J21" s="48" t="n"/>
      <c r="K21" s="48" t="n"/>
      <c r="L21" s="48" t="n"/>
      <c r="M21" s="56" t="n"/>
      <c r="N21" s="65">
        <f>IF($M21="","",$M21+1)</f>
        <v/>
      </c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52" t="n"/>
      <c r="Y21" s="52" t="n"/>
      <c r="Z21" s="17" t="n"/>
      <c r="AA21" s="17" t="n"/>
      <c r="AB21" s="17" t="n"/>
      <c r="AC21" s="23">
        <f>IF($M21="","",IF(MONTH($M21)&lt;=4,"1〜4月退職：原則 一括徴収（5月分まで）",IF(MONTH($M21)=5,"5月退職：最終月（通常徴収で完了）","6〜12月退職：本人希望で一括／なければ普通徴収")))</f>
        <v/>
      </c>
      <c r="AD21" s="17" t="n"/>
      <c r="AE21" s="17" t="n"/>
      <c r="AF21" s="17" t="n"/>
      <c r="AG21" s="17" t="n"/>
      <c r="AH21" s="17" t="n"/>
      <c r="AI21" s="53">
        <f>IF($A21="","",IF(AJ21&gt;0,"未入力","CSV可"))</f>
        <v/>
      </c>
      <c r="AJ21">
        <f>IF($A21="","",IF($A21="",1,0)+IF($M21="",1,0)+IF($O21="",1,0)+IF($P21="",1,0)+IF($Q21="",1,0)+IF($T21="",1,0)+IF($V21="",1,0)+IF($Z21="",1,0)+IF($AA21="",1,0)+IF($AB21="",1,0)+IF(AND($AB21="特別徴収を継続（転職先へ引継ぎ）",$AD21=""),1,0)+IF(AND($O21="契約期間満了",$R21=""),1,0)+IF(AND($O21="契約期間満了",$S21=""),1,0))</f>
        <v/>
      </c>
    </row>
    <row r="22">
      <c r="A22" s="47" t="n"/>
      <c r="B22" s="48" t="n"/>
      <c r="C22" s="48" t="n"/>
      <c r="D22" s="64" t="n"/>
      <c r="E22" s="50" t="n"/>
      <c r="F22" s="50" t="n"/>
      <c r="G22" s="50" t="n"/>
      <c r="H22" s="50" t="n"/>
      <c r="I22" s="48" t="n"/>
      <c r="J22" s="48" t="n"/>
      <c r="K22" s="48" t="n"/>
      <c r="L22" s="48" t="n"/>
      <c r="M22" s="56" t="n"/>
      <c r="N22" s="65">
        <f>IF($M22="","",$M22+1)</f>
        <v/>
      </c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52" t="n"/>
      <c r="Y22" s="52" t="n"/>
      <c r="Z22" s="17" t="n"/>
      <c r="AA22" s="17" t="n"/>
      <c r="AB22" s="17" t="n"/>
      <c r="AC22" s="23">
        <f>IF($M22="","",IF(MONTH($M22)&lt;=4,"1〜4月退職：原則 一括徴収（5月分まで）",IF(MONTH($M22)=5,"5月退職：最終月（通常徴収で完了）","6〜12月退職：本人希望で一括／なければ普通徴収")))</f>
        <v/>
      </c>
      <c r="AD22" s="17" t="n"/>
      <c r="AE22" s="17" t="n"/>
      <c r="AF22" s="17" t="n"/>
      <c r="AG22" s="17" t="n"/>
      <c r="AH22" s="17" t="n"/>
      <c r="AI22" s="53">
        <f>IF($A22="","",IF(AJ22&gt;0,"未入力","CSV可"))</f>
        <v/>
      </c>
      <c r="AJ22">
        <f>IF($A22="","",IF($A22="",1,0)+IF($M22="",1,0)+IF($O22="",1,0)+IF($P22="",1,0)+IF($Q22="",1,0)+IF($T22="",1,0)+IF($V22="",1,0)+IF($Z22="",1,0)+IF($AA22="",1,0)+IF($AB22="",1,0)+IF(AND($AB22="特別徴収を継続（転職先へ引継ぎ）",$AD22=""),1,0)+IF(AND($O22="契約期間満了",$R22=""),1,0)+IF(AND($O22="契約期間満了",$S22=""),1,0))</f>
        <v/>
      </c>
    </row>
    <row r="23">
      <c r="A23" s="47" t="n"/>
      <c r="B23" s="48" t="n"/>
      <c r="C23" s="48" t="n"/>
      <c r="D23" s="64" t="n"/>
      <c r="E23" s="50" t="n"/>
      <c r="F23" s="50" t="n"/>
      <c r="G23" s="50" t="n"/>
      <c r="H23" s="50" t="n"/>
      <c r="I23" s="48" t="n"/>
      <c r="J23" s="48" t="n"/>
      <c r="K23" s="48" t="n"/>
      <c r="L23" s="48" t="n"/>
      <c r="M23" s="56" t="n"/>
      <c r="N23" s="65">
        <f>IF($M23="","",$M23+1)</f>
        <v/>
      </c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52" t="n"/>
      <c r="Y23" s="52" t="n"/>
      <c r="Z23" s="17" t="n"/>
      <c r="AA23" s="17" t="n"/>
      <c r="AB23" s="17" t="n"/>
      <c r="AC23" s="23">
        <f>IF($M23="","",IF(MONTH($M23)&lt;=4,"1〜4月退職：原則 一括徴収（5月分まで）",IF(MONTH($M23)=5,"5月退職：最終月（通常徴収で完了）","6〜12月退職：本人希望で一括／なければ普通徴収")))</f>
        <v/>
      </c>
      <c r="AD23" s="17" t="n"/>
      <c r="AE23" s="17" t="n"/>
      <c r="AF23" s="17" t="n"/>
      <c r="AG23" s="17" t="n"/>
      <c r="AH23" s="17" t="n"/>
      <c r="AI23" s="53">
        <f>IF($A23="","",IF(AJ23&gt;0,"未入力","CSV可"))</f>
        <v/>
      </c>
      <c r="AJ23">
        <f>IF($A23="","",IF($A23="",1,0)+IF($M23="",1,0)+IF($O23="",1,0)+IF($P23="",1,0)+IF($Q23="",1,0)+IF($T23="",1,0)+IF($V23="",1,0)+IF($Z23="",1,0)+IF($AA23="",1,0)+IF($AB23="",1,0)+IF(AND($AB23="特別徴収を継続（転職先へ引継ぎ）",$AD23=""),1,0)+IF(AND($O23="契約期間満了",$R23=""),1,0)+IF(AND($O23="契約期間満了",$S23=""),1,0))</f>
        <v/>
      </c>
    </row>
    <row r="24">
      <c r="A24" s="47" t="n"/>
      <c r="B24" s="48" t="n"/>
      <c r="C24" s="48" t="n"/>
      <c r="D24" s="64" t="n"/>
      <c r="E24" s="50" t="n"/>
      <c r="F24" s="50" t="n"/>
      <c r="G24" s="50" t="n"/>
      <c r="H24" s="50" t="n"/>
      <c r="I24" s="48" t="n"/>
      <c r="J24" s="48" t="n"/>
      <c r="K24" s="48" t="n"/>
      <c r="L24" s="48" t="n"/>
      <c r="M24" s="56" t="n"/>
      <c r="N24" s="65">
        <f>IF($M24="","",$M24+1)</f>
        <v/>
      </c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52" t="n"/>
      <c r="Y24" s="52" t="n"/>
      <c r="Z24" s="17" t="n"/>
      <c r="AA24" s="17" t="n"/>
      <c r="AB24" s="17" t="n"/>
      <c r="AC24" s="23">
        <f>IF($M24="","",IF(MONTH($M24)&lt;=4,"1〜4月退職：原則 一括徴収（5月分まで）",IF(MONTH($M24)=5,"5月退職：最終月（通常徴収で完了）","6〜12月退職：本人希望で一括／なければ普通徴収")))</f>
        <v/>
      </c>
      <c r="AD24" s="17" t="n"/>
      <c r="AE24" s="17" t="n"/>
      <c r="AF24" s="17" t="n"/>
      <c r="AG24" s="17" t="n"/>
      <c r="AH24" s="17" t="n"/>
      <c r="AI24" s="53">
        <f>IF($A24="","",IF(AJ24&gt;0,"未入力","CSV可"))</f>
        <v/>
      </c>
      <c r="AJ24">
        <f>IF($A24="","",IF($A24="",1,0)+IF($M24="",1,0)+IF($O24="",1,0)+IF($P24="",1,0)+IF($Q24="",1,0)+IF($T24="",1,0)+IF($V24="",1,0)+IF($Z24="",1,0)+IF($AA24="",1,0)+IF($AB24="",1,0)+IF(AND($AB24="特別徴収を継続（転職先へ引継ぎ）",$AD24=""),1,0)+IF(AND($O24="契約期間満了",$R24=""),1,0)+IF(AND($O24="契約期間満了",$S24=""),1,0))</f>
        <v/>
      </c>
    </row>
    <row r="25">
      <c r="A25" s="47" t="n"/>
      <c r="B25" s="48" t="n"/>
      <c r="C25" s="48" t="n"/>
      <c r="D25" s="64" t="n"/>
      <c r="E25" s="50" t="n"/>
      <c r="F25" s="50" t="n"/>
      <c r="G25" s="50" t="n"/>
      <c r="H25" s="50" t="n"/>
      <c r="I25" s="48" t="n"/>
      <c r="J25" s="48" t="n"/>
      <c r="K25" s="48" t="n"/>
      <c r="L25" s="48" t="n"/>
      <c r="M25" s="56" t="n"/>
      <c r="N25" s="65">
        <f>IF($M25="","",$M25+1)</f>
        <v/>
      </c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52" t="n"/>
      <c r="Y25" s="52" t="n"/>
      <c r="Z25" s="17" t="n"/>
      <c r="AA25" s="17" t="n"/>
      <c r="AB25" s="17" t="n"/>
      <c r="AC25" s="23">
        <f>IF($M25="","",IF(MONTH($M25)&lt;=4,"1〜4月退職：原則 一括徴収（5月分まで）",IF(MONTH($M25)=5,"5月退職：最終月（通常徴収で完了）","6〜12月退職：本人希望で一括／なければ普通徴収")))</f>
        <v/>
      </c>
      <c r="AD25" s="17" t="n"/>
      <c r="AE25" s="17" t="n"/>
      <c r="AF25" s="17" t="n"/>
      <c r="AG25" s="17" t="n"/>
      <c r="AH25" s="17" t="n"/>
      <c r="AI25" s="53">
        <f>IF($A25="","",IF(AJ25&gt;0,"未入力","CSV可"))</f>
        <v/>
      </c>
      <c r="AJ25">
        <f>IF($A25="","",IF($A25="",1,0)+IF($M25="",1,0)+IF($O25="",1,0)+IF($P25="",1,0)+IF($Q25="",1,0)+IF($T25="",1,0)+IF($V25="",1,0)+IF($Z25="",1,0)+IF($AA25="",1,0)+IF($AB25="",1,0)+IF(AND($AB25="特別徴収を継続（転職先へ引継ぎ）",$AD25=""),1,0)+IF(AND($O25="契約期間満了",$R25=""),1,0)+IF(AND($O25="契約期間満了",$S25=""),1,0))</f>
        <v/>
      </c>
    </row>
    <row r="26">
      <c r="A26" s="47" t="n"/>
      <c r="B26" s="48" t="n"/>
      <c r="C26" s="48" t="n"/>
      <c r="D26" s="64" t="n"/>
      <c r="E26" s="50" t="n"/>
      <c r="F26" s="50" t="n"/>
      <c r="G26" s="50" t="n"/>
      <c r="H26" s="50" t="n"/>
      <c r="I26" s="48" t="n"/>
      <c r="J26" s="48" t="n"/>
      <c r="K26" s="48" t="n"/>
      <c r="L26" s="48" t="n"/>
      <c r="M26" s="56" t="n"/>
      <c r="N26" s="65">
        <f>IF($M26="","",$M26+1)</f>
        <v/>
      </c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52" t="n"/>
      <c r="Y26" s="52" t="n"/>
      <c r="Z26" s="17" t="n"/>
      <c r="AA26" s="17" t="n"/>
      <c r="AB26" s="17" t="n"/>
      <c r="AC26" s="23">
        <f>IF($M26="","",IF(MONTH($M26)&lt;=4,"1〜4月退職：原則 一括徴収（5月分まで）",IF(MONTH($M26)=5,"5月退職：最終月（通常徴収で完了）","6〜12月退職：本人希望で一括／なければ普通徴収")))</f>
        <v/>
      </c>
      <c r="AD26" s="17" t="n"/>
      <c r="AE26" s="17" t="n"/>
      <c r="AF26" s="17" t="n"/>
      <c r="AG26" s="17" t="n"/>
      <c r="AH26" s="17" t="n"/>
      <c r="AI26" s="53">
        <f>IF($A26="","",IF(AJ26&gt;0,"未入力","CSV可"))</f>
        <v/>
      </c>
      <c r="AJ26">
        <f>IF($A26="","",IF($A26="",1,0)+IF($M26="",1,0)+IF($O26="",1,0)+IF($P26="",1,0)+IF($Q26="",1,0)+IF($T26="",1,0)+IF($V26="",1,0)+IF($Z26="",1,0)+IF($AA26="",1,0)+IF($AB26="",1,0)+IF(AND($AB26="特別徴収を継続（転職先へ引継ぎ）",$AD26=""),1,0)+IF(AND($O26="契約期間満了",$R26=""),1,0)+IF(AND($O26="契約期間満了",$S26=""),1,0))</f>
        <v/>
      </c>
    </row>
    <row r="27">
      <c r="A27" s="47" t="n"/>
      <c r="B27" s="48" t="n"/>
      <c r="C27" s="48" t="n"/>
      <c r="D27" s="64" t="n"/>
      <c r="E27" s="50" t="n"/>
      <c r="F27" s="50" t="n"/>
      <c r="G27" s="50" t="n"/>
      <c r="H27" s="50" t="n"/>
      <c r="I27" s="48" t="n"/>
      <c r="J27" s="48" t="n"/>
      <c r="K27" s="48" t="n"/>
      <c r="L27" s="48" t="n"/>
      <c r="M27" s="56" t="n"/>
      <c r="N27" s="65">
        <f>IF($M27="","",$M27+1)</f>
        <v/>
      </c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52" t="n"/>
      <c r="Y27" s="52" t="n"/>
      <c r="Z27" s="17" t="n"/>
      <c r="AA27" s="17" t="n"/>
      <c r="AB27" s="17" t="n"/>
      <c r="AC27" s="23">
        <f>IF($M27="","",IF(MONTH($M27)&lt;=4,"1〜4月退職：原則 一括徴収（5月分まで）",IF(MONTH($M27)=5,"5月退職：最終月（通常徴収で完了）","6〜12月退職：本人希望で一括／なければ普通徴収")))</f>
        <v/>
      </c>
      <c r="AD27" s="17" t="n"/>
      <c r="AE27" s="17" t="n"/>
      <c r="AF27" s="17" t="n"/>
      <c r="AG27" s="17" t="n"/>
      <c r="AH27" s="17" t="n"/>
      <c r="AI27" s="53">
        <f>IF($A27="","",IF(AJ27&gt;0,"未入力","CSV可"))</f>
        <v/>
      </c>
      <c r="AJ27">
        <f>IF($A27="","",IF($A27="",1,0)+IF($M27="",1,0)+IF($O27="",1,0)+IF($P27="",1,0)+IF($Q27="",1,0)+IF($T27="",1,0)+IF($V27="",1,0)+IF($Z27="",1,0)+IF($AA27="",1,0)+IF($AB27="",1,0)+IF(AND($AB27="特別徴収を継続（転職先へ引継ぎ）",$AD27=""),1,0)+IF(AND($O27="契約期間満了",$R27=""),1,0)+IF(AND($O27="契約期間満了",$S27=""),1,0))</f>
        <v/>
      </c>
    </row>
    <row r="28">
      <c r="A28" s="47" t="n"/>
      <c r="B28" s="48" t="n"/>
      <c r="C28" s="48" t="n"/>
      <c r="D28" s="64" t="n"/>
      <c r="E28" s="50" t="n"/>
      <c r="F28" s="50" t="n"/>
      <c r="G28" s="50" t="n"/>
      <c r="H28" s="50" t="n"/>
      <c r="I28" s="48" t="n"/>
      <c r="J28" s="48" t="n"/>
      <c r="K28" s="48" t="n"/>
      <c r="L28" s="48" t="n"/>
      <c r="M28" s="56" t="n"/>
      <c r="N28" s="65">
        <f>IF($M28="","",$M28+1)</f>
        <v/>
      </c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52" t="n"/>
      <c r="Y28" s="52" t="n"/>
      <c r="Z28" s="17" t="n"/>
      <c r="AA28" s="17" t="n"/>
      <c r="AB28" s="17" t="n"/>
      <c r="AC28" s="23">
        <f>IF($M28="","",IF(MONTH($M28)&lt;=4,"1〜4月退職：原則 一括徴収（5月分まで）",IF(MONTH($M28)=5,"5月退職：最終月（通常徴収で完了）","6〜12月退職：本人希望で一括／なければ普通徴収")))</f>
        <v/>
      </c>
      <c r="AD28" s="17" t="n"/>
      <c r="AE28" s="17" t="n"/>
      <c r="AF28" s="17" t="n"/>
      <c r="AG28" s="17" t="n"/>
      <c r="AH28" s="17" t="n"/>
      <c r="AI28" s="53">
        <f>IF($A28="","",IF(AJ28&gt;0,"未入力","CSV可"))</f>
        <v/>
      </c>
      <c r="AJ28">
        <f>IF($A28="","",IF($A28="",1,0)+IF($M28="",1,0)+IF($O28="",1,0)+IF($P28="",1,0)+IF($Q28="",1,0)+IF($T28="",1,0)+IF($V28="",1,0)+IF($Z28="",1,0)+IF($AA28="",1,0)+IF($AB28="",1,0)+IF(AND($AB28="特別徴収を継続（転職先へ引継ぎ）",$AD28=""),1,0)+IF(AND($O28="契約期間満了",$R28=""),1,0)+IF(AND($O28="契約期間満了",$S28=""),1,0))</f>
        <v/>
      </c>
    </row>
    <row r="29">
      <c r="A29" s="47" t="n"/>
      <c r="B29" s="48" t="n"/>
      <c r="C29" s="48" t="n"/>
      <c r="D29" s="64" t="n"/>
      <c r="E29" s="50" t="n"/>
      <c r="F29" s="50" t="n"/>
      <c r="G29" s="50" t="n"/>
      <c r="H29" s="50" t="n"/>
      <c r="I29" s="48" t="n"/>
      <c r="J29" s="48" t="n"/>
      <c r="K29" s="48" t="n"/>
      <c r="L29" s="48" t="n"/>
      <c r="M29" s="56" t="n"/>
      <c r="N29" s="65">
        <f>IF($M29="","",$M29+1)</f>
        <v/>
      </c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52" t="n"/>
      <c r="Y29" s="52" t="n"/>
      <c r="Z29" s="17" t="n"/>
      <c r="AA29" s="17" t="n"/>
      <c r="AB29" s="17" t="n"/>
      <c r="AC29" s="23">
        <f>IF($M29="","",IF(MONTH($M29)&lt;=4,"1〜4月退職：原則 一括徴収（5月分まで）",IF(MONTH($M29)=5,"5月退職：最終月（通常徴収で完了）","6〜12月退職：本人希望で一括／なければ普通徴収")))</f>
        <v/>
      </c>
      <c r="AD29" s="17" t="n"/>
      <c r="AE29" s="17" t="n"/>
      <c r="AF29" s="17" t="n"/>
      <c r="AG29" s="17" t="n"/>
      <c r="AH29" s="17" t="n"/>
      <c r="AI29" s="53">
        <f>IF($A29="","",IF(AJ29&gt;0,"未入力","CSV可"))</f>
        <v/>
      </c>
      <c r="AJ29">
        <f>IF($A29="","",IF($A29="",1,0)+IF($M29="",1,0)+IF($O29="",1,0)+IF($P29="",1,0)+IF($Q29="",1,0)+IF($T29="",1,0)+IF($V29="",1,0)+IF($Z29="",1,0)+IF($AA29="",1,0)+IF($AB29="",1,0)+IF(AND($AB29="特別徴収を継続（転職先へ引継ぎ）",$AD29=""),1,0)+IF(AND($O29="契約期間満了",$R29=""),1,0)+IF(AND($O29="契約期間満了",$S29=""),1,0))</f>
        <v/>
      </c>
    </row>
    <row r="30">
      <c r="A30" s="47" t="n"/>
      <c r="B30" s="48" t="n"/>
      <c r="C30" s="48" t="n"/>
      <c r="D30" s="64" t="n"/>
      <c r="E30" s="50" t="n"/>
      <c r="F30" s="50" t="n"/>
      <c r="G30" s="50" t="n"/>
      <c r="H30" s="50" t="n"/>
      <c r="I30" s="48" t="n"/>
      <c r="J30" s="48" t="n"/>
      <c r="K30" s="48" t="n"/>
      <c r="L30" s="48" t="n"/>
      <c r="M30" s="56" t="n"/>
      <c r="N30" s="65">
        <f>IF($M30="","",$M30+1)</f>
        <v/>
      </c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52" t="n"/>
      <c r="Y30" s="52" t="n"/>
      <c r="Z30" s="17" t="n"/>
      <c r="AA30" s="17" t="n"/>
      <c r="AB30" s="17" t="n"/>
      <c r="AC30" s="23">
        <f>IF($M30="","",IF(MONTH($M30)&lt;=4,"1〜4月退職：原則 一括徴収（5月分まで）",IF(MONTH($M30)=5,"5月退職：最終月（通常徴収で完了）","6〜12月退職：本人希望で一括／なければ普通徴収")))</f>
        <v/>
      </c>
      <c r="AD30" s="17" t="n"/>
      <c r="AE30" s="17" t="n"/>
      <c r="AF30" s="17" t="n"/>
      <c r="AG30" s="17" t="n"/>
      <c r="AH30" s="17" t="n"/>
      <c r="AI30" s="53">
        <f>IF($A30="","",IF(AJ30&gt;0,"未入力","CSV可"))</f>
        <v/>
      </c>
      <c r="AJ30">
        <f>IF($A30="","",IF($A30="",1,0)+IF($M30="",1,0)+IF($O30="",1,0)+IF($P30="",1,0)+IF($Q30="",1,0)+IF($T30="",1,0)+IF($V30="",1,0)+IF($Z30="",1,0)+IF($AA30="",1,0)+IF($AB30="",1,0)+IF(AND($AB30="特別徴収を継続（転職先へ引継ぎ）",$AD30=""),1,0)+IF(AND($O30="契約期間満了",$R30=""),1,0)+IF(AND($O30="契約期間満了",$S30=""),1,0))</f>
        <v/>
      </c>
    </row>
    <row r="31">
      <c r="A31" s="47" t="n"/>
      <c r="B31" s="48" t="n"/>
      <c r="C31" s="48" t="n"/>
      <c r="D31" s="64" t="n"/>
      <c r="E31" s="50" t="n"/>
      <c r="F31" s="50" t="n"/>
      <c r="G31" s="50" t="n"/>
      <c r="H31" s="50" t="n"/>
      <c r="I31" s="48" t="n"/>
      <c r="J31" s="48" t="n"/>
      <c r="K31" s="48" t="n"/>
      <c r="L31" s="48" t="n"/>
      <c r="M31" s="56" t="n"/>
      <c r="N31" s="65">
        <f>IF($M31="","",$M31+1)</f>
        <v/>
      </c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52" t="n"/>
      <c r="Y31" s="52" t="n"/>
      <c r="Z31" s="17" t="n"/>
      <c r="AA31" s="17" t="n"/>
      <c r="AB31" s="17" t="n"/>
      <c r="AC31" s="23">
        <f>IF($M31="","",IF(MONTH($M31)&lt;=4,"1〜4月退職：原則 一括徴収（5月分まで）",IF(MONTH($M31)=5,"5月退職：最終月（通常徴収で完了）","6〜12月退職：本人希望で一括／なければ普通徴収")))</f>
        <v/>
      </c>
      <c r="AD31" s="17" t="n"/>
      <c r="AE31" s="17" t="n"/>
      <c r="AF31" s="17" t="n"/>
      <c r="AG31" s="17" t="n"/>
      <c r="AH31" s="17" t="n"/>
      <c r="AI31" s="53">
        <f>IF($A31="","",IF(AJ31&gt;0,"未入力","CSV可"))</f>
        <v/>
      </c>
      <c r="AJ31">
        <f>IF($A31="","",IF($A31="",1,0)+IF($M31="",1,0)+IF($O31="",1,0)+IF($P31="",1,0)+IF($Q31="",1,0)+IF($T31="",1,0)+IF($V31="",1,0)+IF($Z31="",1,0)+IF($AA31="",1,0)+IF($AB31="",1,0)+IF(AND($AB31="特別徴収を継続（転職先へ引継ぎ）",$AD31=""),1,0)+IF(AND($O31="契約期間満了",$R31=""),1,0)+IF(AND($O31="契約期間満了",$S31=""),1,0))</f>
        <v/>
      </c>
    </row>
    <row r="32">
      <c r="A32" s="47" t="n"/>
      <c r="B32" s="48" t="n"/>
      <c r="C32" s="48" t="n"/>
      <c r="D32" s="64" t="n"/>
      <c r="E32" s="50" t="n"/>
      <c r="F32" s="50" t="n"/>
      <c r="G32" s="50" t="n"/>
      <c r="H32" s="50" t="n"/>
      <c r="I32" s="48" t="n"/>
      <c r="J32" s="48" t="n"/>
      <c r="K32" s="48" t="n"/>
      <c r="L32" s="48" t="n"/>
      <c r="M32" s="56" t="n"/>
      <c r="N32" s="65">
        <f>IF($M32="","",$M32+1)</f>
        <v/>
      </c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52" t="n"/>
      <c r="Y32" s="52" t="n"/>
      <c r="Z32" s="17" t="n"/>
      <c r="AA32" s="17" t="n"/>
      <c r="AB32" s="17" t="n"/>
      <c r="AC32" s="23">
        <f>IF($M32="","",IF(MONTH($M32)&lt;=4,"1〜4月退職：原則 一括徴収（5月分まで）",IF(MONTH($M32)=5,"5月退職：最終月（通常徴収で完了）","6〜12月退職：本人希望で一括／なければ普通徴収")))</f>
        <v/>
      </c>
      <c r="AD32" s="17" t="n"/>
      <c r="AE32" s="17" t="n"/>
      <c r="AF32" s="17" t="n"/>
      <c r="AG32" s="17" t="n"/>
      <c r="AH32" s="17" t="n"/>
      <c r="AI32" s="53">
        <f>IF($A32="","",IF(AJ32&gt;0,"未入力","CSV可"))</f>
        <v/>
      </c>
      <c r="AJ32">
        <f>IF($A32="","",IF($A32="",1,0)+IF($M32="",1,0)+IF($O32="",1,0)+IF($P32="",1,0)+IF($Q32="",1,0)+IF($T32="",1,0)+IF($V32="",1,0)+IF($Z32="",1,0)+IF($AA32="",1,0)+IF($AB32="",1,0)+IF(AND($AB32="特別徴収を継続（転職先へ引継ぎ）",$AD32=""),1,0)+IF(AND($O32="契約期間満了",$R32=""),1,0)+IF(AND($O32="契約期間満了",$S32=""),1,0))</f>
        <v/>
      </c>
    </row>
    <row r="33">
      <c r="A33" s="47" t="n"/>
      <c r="B33" s="48" t="n"/>
      <c r="C33" s="48" t="n"/>
      <c r="D33" s="64" t="n"/>
      <c r="E33" s="50" t="n"/>
      <c r="F33" s="50" t="n"/>
      <c r="G33" s="50" t="n"/>
      <c r="H33" s="50" t="n"/>
      <c r="I33" s="48" t="n"/>
      <c r="J33" s="48" t="n"/>
      <c r="K33" s="48" t="n"/>
      <c r="L33" s="48" t="n"/>
      <c r="M33" s="56" t="n"/>
      <c r="N33" s="65">
        <f>IF($M33="","",$M33+1)</f>
        <v/>
      </c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52" t="n"/>
      <c r="Y33" s="52" t="n"/>
      <c r="Z33" s="17" t="n"/>
      <c r="AA33" s="17" t="n"/>
      <c r="AB33" s="17" t="n"/>
      <c r="AC33" s="23">
        <f>IF($M33="","",IF(MONTH($M33)&lt;=4,"1〜4月退職：原則 一括徴収（5月分まで）",IF(MONTH($M33)=5,"5月退職：最終月（通常徴収で完了）","6〜12月退職：本人希望で一括／なければ普通徴収")))</f>
        <v/>
      </c>
      <c r="AD33" s="17" t="n"/>
      <c r="AE33" s="17" t="n"/>
      <c r="AF33" s="17" t="n"/>
      <c r="AG33" s="17" t="n"/>
      <c r="AH33" s="17" t="n"/>
      <c r="AI33" s="53">
        <f>IF($A33="","",IF(AJ33&gt;0,"未入力","CSV可"))</f>
        <v/>
      </c>
      <c r="AJ33">
        <f>IF($A33="","",IF($A33="",1,0)+IF($M33="",1,0)+IF($O33="",1,0)+IF($P33="",1,0)+IF($Q33="",1,0)+IF($T33="",1,0)+IF($V33="",1,0)+IF($Z33="",1,0)+IF($AA33="",1,0)+IF($AB33="",1,0)+IF(AND($AB33="特別徴収を継続（転職先へ引継ぎ）",$AD33=""),1,0)+IF(AND($O33="契約期間満了",$R33=""),1,0)+IF(AND($O33="契約期間満了",$S33=""),1,0))</f>
        <v/>
      </c>
    </row>
    <row r="34">
      <c r="A34" s="47" t="n"/>
      <c r="B34" s="48" t="n"/>
      <c r="C34" s="48" t="n"/>
      <c r="D34" s="64" t="n"/>
      <c r="E34" s="50" t="n"/>
      <c r="F34" s="50" t="n"/>
      <c r="G34" s="50" t="n"/>
      <c r="H34" s="50" t="n"/>
      <c r="I34" s="48" t="n"/>
      <c r="J34" s="48" t="n"/>
      <c r="K34" s="48" t="n"/>
      <c r="L34" s="48" t="n"/>
      <c r="M34" s="56" t="n"/>
      <c r="N34" s="65">
        <f>IF($M34="","",$M34+1)</f>
        <v/>
      </c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52" t="n"/>
      <c r="Y34" s="52" t="n"/>
      <c r="Z34" s="17" t="n"/>
      <c r="AA34" s="17" t="n"/>
      <c r="AB34" s="17" t="n"/>
      <c r="AC34" s="23">
        <f>IF($M34="","",IF(MONTH($M34)&lt;=4,"1〜4月退職：原則 一括徴収（5月分まで）",IF(MONTH($M34)=5,"5月退職：最終月（通常徴収で完了）","6〜12月退職：本人希望で一括／なければ普通徴収")))</f>
        <v/>
      </c>
      <c r="AD34" s="17" t="n"/>
      <c r="AE34" s="17" t="n"/>
      <c r="AF34" s="17" t="n"/>
      <c r="AG34" s="17" t="n"/>
      <c r="AH34" s="17" t="n"/>
      <c r="AI34" s="53">
        <f>IF($A34="","",IF(AJ34&gt;0,"未入力","CSV可"))</f>
        <v/>
      </c>
      <c r="AJ34">
        <f>IF($A34="","",IF($A34="",1,0)+IF($M34="",1,0)+IF($O34="",1,0)+IF($P34="",1,0)+IF($Q34="",1,0)+IF($T34="",1,0)+IF($V34="",1,0)+IF($Z34="",1,0)+IF($AA34="",1,0)+IF($AB34="",1,0)+IF(AND($AB34="特別徴収を継続（転職先へ引継ぎ）",$AD34=""),1,0)+IF(AND($O34="契約期間満了",$R34=""),1,0)+IF(AND($O34="契約期間満了",$S34=""),1,0))</f>
        <v/>
      </c>
    </row>
    <row r="35">
      <c r="A35" s="47" t="n"/>
      <c r="B35" s="48" t="n"/>
      <c r="C35" s="48" t="n"/>
      <c r="D35" s="64" t="n"/>
      <c r="E35" s="50" t="n"/>
      <c r="F35" s="50" t="n"/>
      <c r="G35" s="50" t="n"/>
      <c r="H35" s="50" t="n"/>
      <c r="I35" s="48" t="n"/>
      <c r="J35" s="48" t="n"/>
      <c r="K35" s="48" t="n"/>
      <c r="L35" s="48" t="n"/>
      <c r="M35" s="56" t="n"/>
      <c r="N35" s="65">
        <f>IF($M35="","",$M35+1)</f>
        <v/>
      </c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52" t="n"/>
      <c r="Y35" s="52" t="n"/>
      <c r="Z35" s="17" t="n"/>
      <c r="AA35" s="17" t="n"/>
      <c r="AB35" s="17" t="n"/>
      <c r="AC35" s="23">
        <f>IF($M35="","",IF(MONTH($M35)&lt;=4,"1〜4月退職：原則 一括徴収（5月分まで）",IF(MONTH($M35)=5,"5月退職：最終月（通常徴収で完了）","6〜12月退職：本人希望で一括／なければ普通徴収")))</f>
        <v/>
      </c>
      <c r="AD35" s="17" t="n"/>
      <c r="AE35" s="17" t="n"/>
      <c r="AF35" s="17" t="n"/>
      <c r="AG35" s="17" t="n"/>
      <c r="AH35" s="17" t="n"/>
      <c r="AI35" s="53">
        <f>IF($A35="","",IF(AJ35&gt;0,"未入力","CSV可"))</f>
        <v/>
      </c>
      <c r="AJ35">
        <f>IF($A35="","",IF($A35="",1,0)+IF($M35="",1,0)+IF($O35="",1,0)+IF($P35="",1,0)+IF($Q35="",1,0)+IF($T35="",1,0)+IF($V35="",1,0)+IF($Z35="",1,0)+IF($AA35="",1,0)+IF($AB35="",1,0)+IF(AND($AB35="特別徴収を継続（転職先へ引継ぎ）",$AD35=""),1,0)+IF(AND($O35="契約期間満了",$R35=""),1,0)+IF(AND($O35="契約期間満了",$S35=""),1,0))</f>
        <v/>
      </c>
    </row>
    <row r="36">
      <c r="A36" s="47" t="n"/>
      <c r="B36" s="48" t="n"/>
      <c r="C36" s="48" t="n"/>
      <c r="D36" s="64" t="n"/>
      <c r="E36" s="50" t="n"/>
      <c r="F36" s="50" t="n"/>
      <c r="G36" s="50" t="n"/>
      <c r="H36" s="50" t="n"/>
      <c r="I36" s="48" t="n"/>
      <c r="J36" s="48" t="n"/>
      <c r="K36" s="48" t="n"/>
      <c r="L36" s="48" t="n"/>
      <c r="M36" s="56" t="n"/>
      <c r="N36" s="65">
        <f>IF($M36="","",$M36+1)</f>
        <v/>
      </c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52" t="n"/>
      <c r="Y36" s="52" t="n"/>
      <c r="Z36" s="17" t="n"/>
      <c r="AA36" s="17" t="n"/>
      <c r="AB36" s="17" t="n"/>
      <c r="AC36" s="23">
        <f>IF($M36="","",IF(MONTH($M36)&lt;=4,"1〜4月退職：原則 一括徴収（5月分まで）",IF(MONTH($M36)=5,"5月退職：最終月（通常徴収で完了）","6〜12月退職：本人希望で一括／なければ普通徴収")))</f>
        <v/>
      </c>
      <c r="AD36" s="17" t="n"/>
      <c r="AE36" s="17" t="n"/>
      <c r="AF36" s="17" t="n"/>
      <c r="AG36" s="17" t="n"/>
      <c r="AH36" s="17" t="n"/>
      <c r="AI36" s="53">
        <f>IF($A36="","",IF(AJ36&gt;0,"未入力","CSV可"))</f>
        <v/>
      </c>
      <c r="AJ36">
        <f>IF($A36="","",IF($A36="",1,0)+IF($M36="",1,0)+IF($O36="",1,0)+IF($P36="",1,0)+IF($Q36="",1,0)+IF($T36="",1,0)+IF($V36="",1,0)+IF($Z36="",1,0)+IF($AA36="",1,0)+IF($AB36="",1,0)+IF(AND($AB36="特別徴収を継続（転職先へ引継ぎ）",$AD36=""),1,0)+IF(AND($O36="契約期間満了",$R36=""),1,0)+IF(AND($O36="契約期間満了",$S36=""),1,0))</f>
        <v/>
      </c>
    </row>
    <row r="37">
      <c r="A37" s="47" t="n"/>
      <c r="B37" s="48" t="n"/>
      <c r="C37" s="48" t="n"/>
      <c r="D37" s="64" t="n"/>
      <c r="E37" s="50" t="n"/>
      <c r="F37" s="50" t="n"/>
      <c r="G37" s="50" t="n"/>
      <c r="H37" s="50" t="n"/>
      <c r="I37" s="48" t="n"/>
      <c r="J37" s="48" t="n"/>
      <c r="K37" s="48" t="n"/>
      <c r="L37" s="48" t="n"/>
      <c r="M37" s="56" t="n"/>
      <c r="N37" s="65">
        <f>IF($M37="","",$M37+1)</f>
        <v/>
      </c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52" t="n"/>
      <c r="Y37" s="52" t="n"/>
      <c r="Z37" s="17" t="n"/>
      <c r="AA37" s="17" t="n"/>
      <c r="AB37" s="17" t="n"/>
      <c r="AC37" s="23">
        <f>IF($M37="","",IF(MONTH($M37)&lt;=4,"1〜4月退職：原則 一括徴収（5月分まで）",IF(MONTH($M37)=5,"5月退職：最終月（通常徴収で完了）","6〜12月退職：本人希望で一括／なければ普通徴収")))</f>
        <v/>
      </c>
      <c r="AD37" s="17" t="n"/>
      <c r="AE37" s="17" t="n"/>
      <c r="AF37" s="17" t="n"/>
      <c r="AG37" s="17" t="n"/>
      <c r="AH37" s="17" t="n"/>
      <c r="AI37" s="53">
        <f>IF($A37="","",IF(AJ37&gt;0,"未入力","CSV可"))</f>
        <v/>
      </c>
      <c r="AJ37">
        <f>IF($A37="","",IF($A37="",1,0)+IF($M37="",1,0)+IF($O37="",1,0)+IF($P37="",1,0)+IF($Q37="",1,0)+IF($T37="",1,0)+IF($V37="",1,0)+IF($Z37="",1,0)+IF($AA37="",1,0)+IF($AB37="",1,0)+IF(AND($AB37="特別徴収を継続（転職先へ引継ぎ）",$AD37=""),1,0)+IF(AND($O37="契約期間満了",$R37=""),1,0)+IF(AND($O37="契約期間満了",$S37=""),1,0))</f>
        <v/>
      </c>
    </row>
    <row r="38">
      <c r="A38" s="47" t="n"/>
      <c r="B38" s="48" t="n"/>
      <c r="C38" s="48" t="n"/>
      <c r="D38" s="64" t="n"/>
      <c r="E38" s="50" t="n"/>
      <c r="F38" s="50" t="n"/>
      <c r="G38" s="50" t="n"/>
      <c r="H38" s="50" t="n"/>
      <c r="I38" s="48" t="n"/>
      <c r="J38" s="48" t="n"/>
      <c r="K38" s="48" t="n"/>
      <c r="L38" s="48" t="n"/>
      <c r="M38" s="56" t="n"/>
      <c r="N38" s="65">
        <f>IF($M38="","",$M38+1)</f>
        <v/>
      </c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52" t="n"/>
      <c r="Y38" s="52" t="n"/>
      <c r="Z38" s="17" t="n"/>
      <c r="AA38" s="17" t="n"/>
      <c r="AB38" s="17" t="n"/>
      <c r="AC38" s="23">
        <f>IF($M38="","",IF(MONTH($M38)&lt;=4,"1〜4月退職：原則 一括徴収（5月分まで）",IF(MONTH($M38)=5,"5月退職：最終月（通常徴収で完了）","6〜12月退職：本人希望で一括／なければ普通徴収")))</f>
        <v/>
      </c>
      <c r="AD38" s="17" t="n"/>
      <c r="AE38" s="17" t="n"/>
      <c r="AF38" s="17" t="n"/>
      <c r="AG38" s="17" t="n"/>
      <c r="AH38" s="17" t="n"/>
      <c r="AI38" s="53">
        <f>IF($A38="","",IF(AJ38&gt;0,"未入力","CSV可"))</f>
        <v/>
      </c>
      <c r="AJ38">
        <f>IF($A38="","",IF($A38="",1,0)+IF($M38="",1,0)+IF($O38="",1,0)+IF($P38="",1,0)+IF($Q38="",1,0)+IF($T38="",1,0)+IF($V38="",1,0)+IF($Z38="",1,0)+IF($AA38="",1,0)+IF($AB38="",1,0)+IF(AND($AB38="特別徴収を継続（転職先へ引継ぎ）",$AD38=""),1,0)+IF(AND($O38="契約期間満了",$R38=""),1,0)+IF(AND($O38="契約期間満了",$S38=""),1,0))</f>
        <v/>
      </c>
    </row>
    <row r="39">
      <c r="A39" s="47" t="n"/>
      <c r="B39" s="48" t="n"/>
      <c r="C39" s="48" t="n"/>
      <c r="D39" s="64" t="n"/>
      <c r="E39" s="50" t="n"/>
      <c r="F39" s="50" t="n"/>
      <c r="G39" s="50" t="n"/>
      <c r="H39" s="50" t="n"/>
      <c r="I39" s="48" t="n"/>
      <c r="J39" s="48" t="n"/>
      <c r="K39" s="48" t="n"/>
      <c r="L39" s="48" t="n"/>
      <c r="M39" s="56" t="n"/>
      <c r="N39" s="65">
        <f>IF($M39="","",$M39+1)</f>
        <v/>
      </c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52" t="n"/>
      <c r="Y39" s="52" t="n"/>
      <c r="Z39" s="17" t="n"/>
      <c r="AA39" s="17" t="n"/>
      <c r="AB39" s="17" t="n"/>
      <c r="AC39" s="23">
        <f>IF($M39="","",IF(MONTH($M39)&lt;=4,"1〜4月退職：原則 一括徴収（5月分まで）",IF(MONTH($M39)=5,"5月退職：最終月（通常徴収で完了）","6〜12月退職：本人希望で一括／なければ普通徴収")))</f>
        <v/>
      </c>
      <c r="AD39" s="17" t="n"/>
      <c r="AE39" s="17" t="n"/>
      <c r="AF39" s="17" t="n"/>
      <c r="AG39" s="17" t="n"/>
      <c r="AH39" s="17" t="n"/>
      <c r="AI39" s="53">
        <f>IF($A39="","",IF(AJ39&gt;0,"未入力","CSV可"))</f>
        <v/>
      </c>
      <c r="AJ39">
        <f>IF($A39="","",IF($A39="",1,0)+IF($M39="",1,0)+IF($O39="",1,0)+IF($P39="",1,0)+IF($Q39="",1,0)+IF($T39="",1,0)+IF($V39="",1,0)+IF($Z39="",1,0)+IF($AA39="",1,0)+IF($AB39="",1,0)+IF(AND($AB39="特別徴収を継続（転職先へ引継ぎ）",$AD39=""),1,0)+IF(AND($O39="契約期間満了",$R39=""),1,0)+IF(AND($O39="契約期間満了",$S39=""),1,0))</f>
        <v/>
      </c>
    </row>
    <row r="40">
      <c r="A40" s="47" t="n"/>
      <c r="B40" s="48" t="n"/>
      <c r="C40" s="48" t="n"/>
      <c r="D40" s="64" t="n"/>
      <c r="E40" s="50" t="n"/>
      <c r="F40" s="50" t="n"/>
      <c r="G40" s="50" t="n"/>
      <c r="H40" s="50" t="n"/>
      <c r="I40" s="48" t="n"/>
      <c r="J40" s="48" t="n"/>
      <c r="K40" s="48" t="n"/>
      <c r="L40" s="48" t="n"/>
      <c r="M40" s="56" t="n"/>
      <c r="N40" s="65">
        <f>IF($M40="","",$M40+1)</f>
        <v/>
      </c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52" t="n"/>
      <c r="Y40" s="52" t="n"/>
      <c r="Z40" s="17" t="n"/>
      <c r="AA40" s="17" t="n"/>
      <c r="AB40" s="17" t="n"/>
      <c r="AC40" s="23">
        <f>IF($M40="","",IF(MONTH($M40)&lt;=4,"1〜4月退職：原則 一括徴収（5月分まで）",IF(MONTH($M40)=5,"5月退職：最終月（通常徴収で完了）","6〜12月退職：本人希望で一括／なければ普通徴収")))</f>
        <v/>
      </c>
      <c r="AD40" s="17" t="n"/>
      <c r="AE40" s="17" t="n"/>
      <c r="AF40" s="17" t="n"/>
      <c r="AG40" s="17" t="n"/>
      <c r="AH40" s="17" t="n"/>
      <c r="AI40" s="53">
        <f>IF($A40="","",IF(AJ40&gt;0,"未入力","CSV可"))</f>
        <v/>
      </c>
      <c r="AJ40">
        <f>IF($A40="","",IF($A40="",1,0)+IF($M40="",1,0)+IF($O40="",1,0)+IF($P40="",1,0)+IF($Q40="",1,0)+IF($T40="",1,0)+IF($V40="",1,0)+IF($Z40="",1,0)+IF($AA40="",1,0)+IF($AB40="",1,0)+IF(AND($AB40="特別徴収を継続（転職先へ引継ぎ）",$AD40=""),1,0)+IF(AND($O40="契約期間満了",$R40=""),1,0)+IF(AND($O40="契約期間満了",$S40=""),1,0))</f>
        <v/>
      </c>
    </row>
    <row r="41">
      <c r="A41" s="47" t="n"/>
      <c r="B41" s="48" t="n"/>
      <c r="C41" s="48" t="n"/>
      <c r="D41" s="64" t="n"/>
      <c r="E41" s="50" t="n"/>
      <c r="F41" s="50" t="n"/>
      <c r="G41" s="50" t="n"/>
      <c r="H41" s="50" t="n"/>
      <c r="I41" s="48" t="n"/>
      <c r="J41" s="48" t="n"/>
      <c r="K41" s="48" t="n"/>
      <c r="L41" s="48" t="n"/>
      <c r="M41" s="56" t="n"/>
      <c r="N41" s="65">
        <f>IF($M41="","",$M41+1)</f>
        <v/>
      </c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52" t="n"/>
      <c r="Y41" s="52" t="n"/>
      <c r="Z41" s="17" t="n"/>
      <c r="AA41" s="17" t="n"/>
      <c r="AB41" s="17" t="n"/>
      <c r="AC41" s="23">
        <f>IF($M41="","",IF(MONTH($M41)&lt;=4,"1〜4月退職：原則 一括徴収（5月分まで）",IF(MONTH($M41)=5,"5月退職：最終月（通常徴収で完了）","6〜12月退職：本人希望で一括／なければ普通徴収")))</f>
        <v/>
      </c>
      <c r="AD41" s="17" t="n"/>
      <c r="AE41" s="17" t="n"/>
      <c r="AF41" s="17" t="n"/>
      <c r="AG41" s="17" t="n"/>
      <c r="AH41" s="17" t="n"/>
      <c r="AI41" s="53">
        <f>IF($A41="","",IF(AJ41&gt;0,"未入力","CSV可"))</f>
        <v/>
      </c>
      <c r="AJ41">
        <f>IF($A41="","",IF($A41="",1,0)+IF($M41="",1,0)+IF($O41="",1,0)+IF($P41="",1,0)+IF($Q41="",1,0)+IF($T41="",1,0)+IF($V41="",1,0)+IF($Z41="",1,0)+IF($AA41="",1,0)+IF($AB41="",1,0)+IF(AND($AB41="特別徴収を継続（転職先へ引継ぎ）",$AD41=""),1,0)+IF(AND($O41="契約期間満了",$R41=""),1,0)+IF(AND($O41="契約期間満了",$S41=""),1,0))</f>
        <v/>
      </c>
    </row>
    <row r="42">
      <c r="A42" s="47" t="n"/>
      <c r="B42" s="48" t="n"/>
      <c r="C42" s="48" t="n"/>
      <c r="D42" s="64" t="n"/>
      <c r="E42" s="50" t="n"/>
      <c r="F42" s="50" t="n"/>
      <c r="G42" s="50" t="n"/>
      <c r="H42" s="50" t="n"/>
      <c r="I42" s="48" t="n"/>
      <c r="J42" s="48" t="n"/>
      <c r="K42" s="48" t="n"/>
      <c r="L42" s="48" t="n"/>
      <c r="M42" s="56" t="n"/>
      <c r="N42" s="65">
        <f>IF($M42="","",$M42+1)</f>
        <v/>
      </c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52" t="n"/>
      <c r="Y42" s="52" t="n"/>
      <c r="Z42" s="17" t="n"/>
      <c r="AA42" s="17" t="n"/>
      <c r="AB42" s="17" t="n"/>
      <c r="AC42" s="23">
        <f>IF($M42="","",IF(MONTH($M42)&lt;=4,"1〜4月退職：原則 一括徴収（5月分まで）",IF(MONTH($M42)=5,"5月退職：最終月（通常徴収で完了）","6〜12月退職：本人希望で一括／なければ普通徴収")))</f>
        <v/>
      </c>
      <c r="AD42" s="17" t="n"/>
      <c r="AE42" s="17" t="n"/>
      <c r="AF42" s="17" t="n"/>
      <c r="AG42" s="17" t="n"/>
      <c r="AH42" s="17" t="n"/>
      <c r="AI42" s="53">
        <f>IF($A42="","",IF(AJ42&gt;0,"未入力","CSV可"))</f>
        <v/>
      </c>
      <c r="AJ42">
        <f>IF($A42="","",IF($A42="",1,0)+IF($M42="",1,0)+IF($O42="",1,0)+IF($P42="",1,0)+IF($Q42="",1,0)+IF($T42="",1,0)+IF($V42="",1,0)+IF($Z42="",1,0)+IF($AA42="",1,0)+IF($AB42="",1,0)+IF(AND($AB42="特別徴収を継続（転職先へ引継ぎ）",$AD42=""),1,0)+IF(AND($O42="契約期間満了",$R42=""),1,0)+IF(AND($O42="契約期間満了",$S42=""),1,0))</f>
        <v/>
      </c>
    </row>
    <row r="43">
      <c r="A43" s="47" t="n"/>
      <c r="B43" s="48" t="n"/>
      <c r="C43" s="48" t="n"/>
      <c r="D43" s="64" t="n"/>
      <c r="E43" s="50" t="n"/>
      <c r="F43" s="50" t="n"/>
      <c r="G43" s="50" t="n"/>
      <c r="H43" s="50" t="n"/>
      <c r="I43" s="48" t="n"/>
      <c r="J43" s="48" t="n"/>
      <c r="K43" s="48" t="n"/>
      <c r="L43" s="48" t="n"/>
      <c r="M43" s="56" t="n"/>
      <c r="N43" s="65">
        <f>IF($M43="","",$M43+1)</f>
        <v/>
      </c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52" t="n"/>
      <c r="Y43" s="52" t="n"/>
      <c r="Z43" s="17" t="n"/>
      <c r="AA43" s="17" t="n"/>
      <c r="AB43" s="17" t="n"/>
      <c r="AC43" s="23">
        <f>IF($M43="","",IF(MONTH($M43)&lt;=4,"1〜4月退職：原則 一括徴収（5月分まで）",IF(MONTH($M43)=5,"5月退職：最終月（通常徴収で完了）","6〜12月退職：本人希望で一括／なければ普通徴収")))</f>
        <v/>
      </c>
      <c r="AD43" s="17" t="n"/>
      <c r="AE43" s="17" t="n"/>
      <c r="AF43" s="17" t="n"/>
      <c r="AG43" s="17" t="n"/>
      <c r="AH43" s="17" t="n"/>
      <c r="AI43" s="53">
        <f>IF($A43="","",IF(AJ43&gt;0,"未入力","CSV可"))</f>
        <v/>
      </c>
      <c r="AJ43">
        <f>IF($A43="","",IF($A43="",1,0)+IF($M43="",1,0)+IF($O43="",1,0)+IF($P43="",1,0)+IF($Q43="",1,0)+IF($T43="",1,0)+IF($V43="",1,0)+IF($Z43="",1,0)+IF($AA43="",1,0)+IF($AB43="",1,0)+IF(AND($AB43="特別徴収を継続（転職先へ引継ぎ）",$AD43=""),1,0)+IF(AND($O43="契約期間満了",$R43=""),1,0)+IF(AND($O43="契約期間満了",$S43=""),1,0))</f>
        <v/>
      </c>
    </row>
    <row r="44">
      <c r="A44" s="47" t="n"/>
      <c r="B44" s="48" t="n"/>
      <c r="C44" s="48" t="n"/>
      <c r="D44" s="64" t="n"/>
      <c r="E44" s="50" t="n"/>
      <c r="F44" s="50" t="n"/>
      <c r="G44" s="50" t="n"/>
      <c r="H44" s="50" t="n"/>
      <c r="I44" s="48" t="n"/>
      <c r="J44" s="48" t="n"/>
      <c r="K44" s="48" t="n"/>
      <c r="L44" s="48" t="n"/>
      <c r="M44" s="56" t="n"/>
      <c r="N44" s="65">
        <f>IF($M44="","",$M44+1)</f>
        <v/>
      </c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52" t="n"/>
      <c r="Y44" s="52" t="n"/>
      <c r="Z44" s="17" t="n"/>
      <c r="AA44" s="17" t="n"/>
      <c r="AB44" s="17" t="n"/>
      <c r="AC44" s="23">
        <f>IF($M44="","",IF(MONTH($M44)&lt;=4,"1〜4月退職：原則 一括徴収（5月分まで）",IF(MONTH($M44)=5,"5月退職：最終月（通常徴収で完了）","6〜12月退職：本人希望で一括／なければ普通徴収")))</f>
        <v/>
      </c>
      <c r="AD44" s="17" t="n"/>
      <c r="AE44" s="17" t="n"/>
      <c r="AF44" s="17" t="n"/>
      <c r="AG44" s="17" t="n"/>
      <c r="AH44" s="17" t="n"/>
      <c r="AI44" s="53">
        <f>IF($A44="","",IF(AJ44&gt;0,"未入力","CSV可"))</f>
        <v/>
      </c>
      <c r="AJ44">
        <f>IF($A44="","",IF($A44="",1,0)+IF($M44="",1,0)+IF($O44="",1,0)+IF($P44="",1,0)+IF($Q44="",1,0)+IF($T44="",1,0)+IF($V44="",1,0)+IF($Z44="",1,0)+IF($AA44="",1,0)+IF($AB44="",1,0)+IF(AND($AB44="特別徴収を継続（転職先へ引継ぎ）",$AD44=""),1,0)+IF(AND($O44="契約期間満了",$R44=""),1,0)+IF(AND($O44="契約期間満了",$S44=""),1,0))</f>
        <v/>
      </c>
    </row>
    <row r="45">
      <c r="A45" s="47" t="n"/>
      <c r="B45" s="48" t="n"/>
      <c r="C45" s="48" t="n"/>
      <c r="D45" s="64" t="n"/>
      <c r="E45" s="50" t="n"/>
      <c r="F45" s="50" t="n"/>
      <c r="G45" s="50" t="n"/>
      <c r="H45" s="50" t="n"/>
      <c r="I45" s="48" t="n"/>
      <c r="J45" s="48" t="n"/>
      <c r="K45" s="48" t="n"/>
      <c r="L45" s="48" t="n"/>
      <c r="M45" s="56" t="n"/>
      <c r="N45" s="65">
        <f>IF($M45="","",$M45+1)</f>
        <v/>
      </c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52" t="n"/>
      <c r="Y45" s="52" t="n"/>
      <c r="Z45" s="17" t="n"/>
      <c r="AA45" s="17" t="n"/>
      <c r="AB45" s="17" t="n"/>
      <c r="AC45" s="23">
        <f>IF($M45="","",IF(MONTH($M45)&lt;=4,"1〜4月退職：原則 一括徴収（5月分まで）",IF(MONTH($M45)=5,"5月退職：最終月（通常徴収で完了）","6〜12月退職：本人希望で一括／なければ普通徴収")))</f>
        <v/>
      </c>
      <c r="AD45" s="17" t="n"/>
      <c r="AE45" s="17" t="n"/>
      <c r="AF45" s="17" t="n"/>
      <c r="AG45" s="17" t="n"/>
      <c r="AH45" s="17" t="n"/>
      <c r="AI45" s="53">
        <f>IF($A45="","",IF(AJ45&gt;0,"未入力","CSV可"))</f>
        <v/>
      </c>
      <c r="AJ45">
        <f>IF($A45="","",IF($A45="",1,0)+IF($M45="",1,0)+IF($O45="",1,0)+IF($P45="",1,0)+IF($Q45="",1,0)+IF($T45="",1,0)+IF($V45="",1,0)+IF($Z45="",1,0)+IF($AA45="",1,0)+IF($AB45="",1,0)+IF(AND($AB45="特別徴収を継続（転職先へ引継ぎ）",$AD45=""),1,0)+IF(AND($O45="契約期間満了",$R45=""),1,0)+IF(AND($O45="契約期間満了",$S45=""),1,0))</f>
        <v/>
      </c>
    </row>
    <row r="46">
      <c r="A46" s="47" t="n"/>
      <c r="B46" s="48" t="n"/>
      <c r="C46" s="48" t="n"/>
      <c r="D46" s="64" t="n"/>
      <c r="E46" s="50" t="n"/>
      <c r="F46" s="50" t="n"/>
      <c r="G46" s="50" t="n"/>
      <c r="H46" s="50" t="n"/>
      <c r="I46" s="48" t="n"/>
      <c r="J46" s="48" t="n"/>
      <c r="K46" s="48" t="n"/>
      <c r="L46" s="48" t="n"/>
      <c r="M46" s="56" t="n"/>
      <c r="N46" s="65">
        <f>IF($M46="","",$M46+1)</f>
        <v/>
      </c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52" t="n"/>
      <c r="Y46" s="52" t="n"/>
      <c r="Z46" s="17" t="n"/>
      <c r="AA46" s="17" t="n"/>
      <c r="AB46" s="17" t="n"/>
      <c r="AC46" s="23">
        <f>IF($M46="","",IF(MONTH($M46)&lt;=4,"1〜4月退職：原則 一括徴収（5月分まで）",IF(MONTH($M46)=5,"5月退職：最終月（通常徴収で完了）","6〜12月退職：本人希望で一括／なければ普通徴収")))</f>
        <v/>
      </c>
      <c r="AD46" s="17" t="n"/>
      <c r="AE46" s="17" t="n"/>
      <c r="AF46" s="17" t="n"/>
      <c r="AG46" s="17" t="n"/>
      <c r="AH46" s="17" t="n"/>
      <c r="AI46" s="53">
        <f>IF($A46="","",IF(AJ46&gt;0,"未入力","CSV可"))</f>
        <v/>
      </c>
      <c r="AJ46">
        <f>IF($A46="","",IF($A46="",1,0)+IF($M46="",1,0)+IF($O46="",1,0)+IF($P46="",1,0)+IF($Q46="",1,0)+IF($T46="",1,0)+IF($V46="",1,0)+IF($Z46="",1,0)+IF($AA46="",1,0)+IF($AB46="",1,0)+IF(AND($AB46="特別徴収を継続（転職先へ引継ぎ）",$AD46=""),1,0)+IF(AND($O46="契約期間満了",$R46=""),1,0)+IF(AND($O46="契約期間満了",$S46=""),1,0))</f>
        <v/>
      </c>
    </row>
    <row r="47">
      <c r="A47" s="47" t="n"/>
      <c r="B47" s="48" t="n"/>
      <c r="C47" s="48" t="n"/>
      <c r="D47" s="64" t="n"/>
      <c r="E47" s="50" t="n"/>
      <c r="F47" s="50" t="n"/>
      <c r="G47" s="50" t="n"/>
      <c r="H47" s="50" t="n"/>
      <c r="I47" s="48" t="n"/>
      <c r="J47" s="48" t="n"/>
      <c r="K47" s="48" t="n"/>
      <c r="L47" s="48" t="n"/>
      <c r="M47" s="56" t="n"/>
      <c r="N47" s="65">
        <f>IF($M47="","",$M47+1)</f>
        <v/>
      </c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52" t="n"/>
      <c r="Y47" s="52" t="n"/>
      <c r="Z47" s="17" t="n"/>
      <c r="AA47" s="17" t="n"/>
      <c r="AB47" s="17" t="n"/>
      <c r="AC47" s="23">
        <f>IF($M47="","",IF(MONTH($M47)&lt;=4,"1〜4月退職：原則 一括徴収（5月分まで）",IF(MONTH($M47)=5,"5月退職：最終月（通常徴収で完了）","6〜12月退職：本人希望で一括／なければ普通徴収")))</f>
        <v/>
      </c>
      <c r="AD47" s="17" t="n"/>
      <c r="AE47" s="17" t="n"/>
      <c r="AF47" s="17" t="n"/>
      <c r="AG47" s="17" t="n"/>
      <c r="AH47" s="17" t="n"/>
      <c r="AI47" s="53">
        <f>IF($A47="","",IF(AJ47&gt;0,"未入力","CSV可"))</f>
        <v/>
      </c>
      <c r="AJ47">
        <f>IF($A47="","",IF($A47="",1,0)+IF($M47="",1,0)+IF($O47="",1,0)+IF($P47="",1,0)+IF($Q47="",1,0)+IF($T47="",1,0)+IF($V47="",1,0)+IF($Z47="",1,0)+IF($AA47="",1,0)+IF($AB47="",1,0)+IF(AND($AB47="特別徴収を継続（転職先へ引継ぎ）",$AD47=""),1,0)+IF(AND($O47="契約期間満了",$R47=""),1,0)+IF(AND($O47="契約期間満了",$S47=""),1,0))</f>
        <v/>
      </c>
    </row>
    <row r="48">
      <c r="A48" s="47" t="n"/>
      <c r="B48" s="48" t="n"/>
      <c r="C48" s="48" t="n"/>
      <c r="D48" s="64" t="n"/>
      <c r="E48" s="50" t="n"/>
      <c r="F48" s="50" t="n"/>
      <c r="G48" s="50" t="n"/>
      <c r="H48" s="50" t="n"/>
      <c r="I48" s="48" t="n"/>
      <c r="J48" s="48" t="n"/>
      <c r="K48" s="48" t="n"/>
      <c r="L48" s="48" t="n"/>
      <c r="M48" s="56" t="n"/>
      <c r="N48" s="65">
        <f>IF($M48="","",$M48+1)</f>
        <v/>
      </c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52" t="n"/>
      <c r="Y48" s="52" t="n"/>
      <c r="Z48" s="17" t="n"/>
      <c r="AA48" s="17" t="n"/>
      <c r="AB48" s="17" t="n"/>
      <c r="AC48" s="23">
        <f>IF($M48="","",IF(MONTH($M48)&lt;=4,"1〜4月退職：原則 一括徴収（5月分まで）",IF(MONTH($M48)=5,"5月退職：最終月（通常徴収で完了）","6〜12月退職：本人希望で一括／なければ普通徴収")))</f>
        <v/>
      </c>
      <c r="AD48" s="17" t="n"/>
      <c r="AE48" s="17" t="n"/>
      <c r="AF48" s="17" t="n"/>
      <c r="AG48" s="17" t="n"/>
      <c r="AH48" s="17" t="n"/>
      <c r="AI48" s="53">
        <f>IF($A48="","",IF(AJ48&gt;0,"未入力","CSV可"))</f>
        <v/>
      </c>
      <c r="AJ48">
        <f>IF($A48="","",IF($A48="",1,0)+IF($M48="",1,0)+IF($O48="",1,0)+IF($P48="",1,0)+IF($Q48="",1,0)+IF($T48="",1,0)+IF($V48="",1,0)+IF($Z48="",1,0)+IF($AA48="",1,0)+IF($AB48="",1,0)+IF(AND($AB48="特別徴収を継続（転職先へ引継ぎ）",$AD48=""),1,0)+IF(AND($O48="契約期間満了",$R48=""),1,0)+IF(AND($O48="契約期間満了",$S48=""),1,0))</f>
        <v/>
      </c>
    </row>
    <row r="49">
      <c r="A49" s="47" t="n"/>
      <c r="B49" s="48" t="n"/>
      <c r="C49" s="48" t="n"/>
      <c r="D49" s="64" t="n"/>
      <c r="E49" s="50" t="n"/>
      <c r="F49" s="50" t="n"/>
      <c r="G49" s="50" t="n"/>
      <c r="H49" s="50" t="n"/>
      <c r="I49" s="48" t="n"/>
      <c r="J49" s="48" t="n"/>
      <c r="K49" s="48" t="n"/>
      <c r="L49" s="48" t="n"/>
      <c r="M49" s="56" t="n"/>
      <c r="N49" s="65">
        <f>IF($M49="","",$M49+1)</f>
        <v/>
      </c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52" t="n"/>
      <c r="Y49" s="52" t="n"/>
      <c r="Z49" s="17" t="n"/>
      <c r="AA49" s="17" t="n"/>
      <c r="AB49" s="17" t="n"/>
      <c r="AC49" s="23">
        <f>IF($M49="","",IF(MONTH($M49)&lt;=4,"1〜4月退職：原則 一括徴収（5月分まで）",IF(MONTH($M49)=5,"5月退職：最終月（通常徴収で完了）","6〜12月退職：本人希望で一括／なければ普通徴収")))</f>
        <v/>
      </c>
      <c r="AD49" s="17" t="n"/>
      <c r="AE49" s="17" t="n"/>
      <c r="AF49" s="17" t="n"/>
      <c r="AG49" s="17" t="n"/>
      <c r="AH49" s="17" t="n"/>
      <c r="AI49" s="53">
        <f>IF($A49="","",IF(AJ49&gt;0,"未入力","CSV可"))</f>
        <v/>
      </c>
      <c r="AJ49">
        <f>IF($A49="","",IF($A49="",1,0)+IF($M49="",1,0)+IF($O49="",1,0)+IF($P49="",1,0)+IF($Q49="",1,0)+IF($T49="",1,0)+IF($V49="",1,0)+IF($Z49="",1,0)+IF($AA49="",1,0)+IF($AB49="",1,0)+IF(AND($AB49="特別徴収を継続（転職先へ引継ぎ）",$AD49=""),1,0)+IF(AND($O49="契約期間満了",$R49=""),1,0)+IF(AND($O49="契約期間満了",$S49=""),1,0))</f>
        <v/>
      </c>
    </row>
    <row r="50">
      <c r="A50" s="47" t="n"/>
      <c r="B50" s="48" t="n"/>
      <c r="C50" s="48" t="n"/>
      <c r="D50" s="64" t="n"/>
      <c r="E50" s="50" t="n"/>
      <c r="F50" s="50" t="n"/>
      <c r="G50" s="50" t="n"/>
      <c r="H50" s="50" t="n"/>
      <c r="I50" s="48" t="n"/>
      <c r="J50" s="48" t="n"/>
      <c r="K50" s="48" t="n"/>
      <c r="L50" s="48" t="n"/>
      <c r="M50" s="56" t="n"/>
      <c r="N50" s="65">
        <f>IF($M50="","",$M50+1)</f>
        <v/>
      </c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52" t="n"/>
      <c r="Y50" s="52" t="n"/>
      <c r="Z50" s="17" t="n"/>
      <c r="AA50" s="17" t="n"/>
      <c r="AB50" s="17" t="n"/>
      <c r="AC50" s="23">
        <f>IF($M50="","",IF(MONTH($M50)&lt;=4,"1〜4月退職：原則 一括徴収（5月分まで）",IF(MONTH($M50)=5,"5月退職：最終月（通常徴収で完了）","6〜12月退職：本人希望で一括／なければ普通徴収")))</f>
        <v/>
      </c>
      <c r="AD50" s="17" t="n"/>
      <c r="AE50" s="17" t="n"/>
      <c r="AF50" s="17" t="n"/>
      <c r="AG50" s="17" t="n"/>
      <c r="AH50" s="17" t="n"/>
      <c r="AI50" s="53">
        <f>IF($A50="","",IF(AJ50&gt;0,"未入力","CSV可"))</f>
        <v/>
      </c>
      <c r="AJ50">
        <f>IF($A50="","",IF($A50="",1,0)+IF($M50="",1,0)+IF($O50="",1,0)+IF($P50="",1,0)+IF($Q50="",1,0)+IF($T50="",1,0)+IF($V50="",1,0)+IF($Z50="",1,0)+IF($AA50="",1,0)+IF($AB50="",1,0)+IF(AND($AB50="特別徴収を継続（転職先へ引継ぎ）",$AD50=""),1,0)+IF(AND($O50="契約期間満了",$R50=""),1,0)+IF(AND($O50="契約期間満了",$S50=""),1,0))</f>
        <v/>
      </c>
    </row>
    <row r="51">
      <c r="A51" s="47" t="n"/>
      <c r="B51" s="48" t="n"/>
      <c r="C51" s="48" t="n"/>
      <c r="D51" s="64" t="n"/>
      <c r="E51" s="50" t="n"/>
      <c r="F51" s="50" t="n"/>
      <c r="G51" s="50" t="n"/>
      <c r="H51" s="50" t="n"/>
      <c r="I51" s="48" t="n"/>
      <c r="J51" s="48" t="n"/>
      <c r="K51" s="48" t="n"/>
      <c r="L51" s="48" t="n"/>
      <c r="M51" s="56" t="n"/>
      <c r="N51" s="65">
        <f>IF($M51="","",$M51+1)</f>
        <v/>
      </c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52" t="n"/>
      <c r="Y51" s="52" t="n"/>
      <c r="Z51" s="17" t="n"/>
      <c r="AA51" s="17" t="n"/>
      <c r="AB51" s="17" t="n"/>
      <c r="AC51" s="23">
        <f>IF($M51="","",IF(MONTH($M51)&lt;=4,"1〜4月退職：原則 一括徴収（5月分まで）",IF(MONTH($M51)=5,"5月退職：最終月（通常徴収で完了）","6〜12月退職：本人希望で一括／なければ普通徴収")))</f>
        <v/>
      </c>
      <c r="AD51" s="17" t="n"/>
      <c r="AE51" s="17" t="n"/>
      <c r="AF51" s="17" t="n"/>
      <c r="AG51" s="17" t="n"/>
      <c r="AH51" s="17" t="n"/>
      <c r="AI51" s="53">
        <f>IF($A51="","",IF(AJ51&gt;0,"未入力","CSV可"))</f>
        <v/>
      </c>
      <c r="AJ51">
        <f>IF($A51="","",IF($A51="",1,0)+IF($M51="",1,0)+IF($O51="",1,0)+IF($P51="",1,0)+IF($Q51="",1,0)+IF($T51="",1,0)+IF($V51="",1,0)+IF($Z51="",1,0)+IF($AA51="",1,0)+IF($AB51="",1,0)+IF(AND($AB51="特別徴収を継続（転職先へ引継ぎ）",$AD51=""),1,0)+IF(AND($O51="契約期間満了",$R51=""),1,0)+IF(AND($O51="契約期間満了",$S51=""),1,0))</f>
        <v/>
      </c>
    </row>
    <row r="52">
      <c r="A52" s="47" t="n"/>
      <c r="B52" s="48" t="n"/>
      <c r="C52" s="48" t="n"/>
      <c r="D52" s="64" t="n"/>
      <c r="E52" s="50" t="n"/>
      <c r="F52" s="50" t="n"/>
      <c r="G52" s="50" t="n"/>
      <c r="H52" s="50" t="n"/>
      <c r="I52" s="48" t="n"/>
      <c r="J52" s="48" t="n"/>
      <c r="K52" s="48" t="n"/>
      <c r="L52" s="48" t="n"/>
      <c r="M52" s="56" t="n"/>
      <c r="N52" s="65">
        <f>IF($M52="","",$M52+1)</f>
        <v/>
      </c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52" t="n"/>
      <c r="Y52" s="52" t="n"/>
      <c r="Z52" s="17" t="n"/>
      <c r="AA52" s="17" t="n"/>
      <c r="AB52" s="17" t="n"/>
      <c r="AC52" s="23">
        <f>IF($M52="","",IF(MONTH($M52)&lt;=4,"1〜4月退職：原則 一括徴収（5月分まで）",IF(MONTH($M52)=5,"5月退職：最終月（通常徴収で完了）","6〜12月退職：本人希望で一括／なければ普通徴収")))</f>
        <v/>
      </c>
      <c r="AD52" s="17" t="n"/>
      <c r="AE52" s="17" t="n"/>
      <c r="AF52" s="17" t="n"/>
      <c r="AG52" s="17" t="n"/>
      <c r="AH52" s="17" t="n"/>
      <c r="AI52" s="53">
        <f>IF($A52="","",IF(AJ52&gt;0,"未入力","CSV可"))</f>
        <v/>
      </c>
      <c r="AJ52">
        <f>IF($A52="","",IF($A52="",1,0)+IF($M52="",1,0)+IF($O52="",1,0)+IF($P52="",1,0)+IF($Q52="",1,0)+IF($T52="",1,0)+IF($V52="",1,0)+IF($Z52="",1,0)+IF($AA52="",1,0)+IF($AB52="",1,0)+IF(AND($AB52="特別徴収を継続（転職先へ引継ぎ）",$AD52=""),1,0)+IF(AND($O52="契約期間満了",$R52=""),1,0)+IF(AND($O52="契約期間満了",$S52=""),1,0))</f>
        <v/>
      </c>
    </row>
    <row r="53">
      <c r="A53" s="47" t="n"/>
      <c r="B53" s="48" t="n"/>
      <c r="C53" s="48" t="n"/>
      <c r="D53" s="64" t="n"/>
      <c r="E53" s="50" t="n"/>
      <c r="F53" s="50" t="n"/>
      <c r="G53" s="50" t="n"/>
      <c r="H53" s="50" t="n"/>
      <c r="I53" s="48" t="n"/>
      <c r="J53" s="48" t="n"/>
      <c r="K53" s="48" t="n"/>
      <c r="L53" s="48" t="n"/>
      <c r="M53" s="56" t="n"/>
      <c r="N53" s="65">
        <f>IF($M53="","",$M53+1)</f>
        <v/>
      </c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52" t="n"/>
      <c r="Y53" s="52" t="n"/>
      <c r="Z53" s="17" t="n"/>
      <c r="AA53" s="17" t="n"/>
      <c r="AB53" s="17" t="n"/>
      <c r="AC53" s="23">
        <f>IF($M53="","",IF(MONTH($M53)&lt;=4,"1〜4月退職：原則 一括徴収（5月分まで）",IF(MONTH($M53)=5,"5月退職：最終月（通常徴収で完了）","6〜12月退職：本人希望で一括／なければ普通徴収")))</f>
        <v/>
      </c>
      <c r="AD53" s="17" t="n"/>
      <c r="AE53" s="17" t="n"/>
      <c r="AF53" s="17" t="n"/>
      <c r="AG53" s="17" t="n"/>
      <c r="AH53" s="17" t="n"/>
      <c r="AI53" s="53">
        <f>IF($A53="","",IF(AJ53&gt;0,"未入力","CSV可"))</f>
        <v/>
      </c>
      <c r="AJ53">
        <f>IF($A53="","",IF($A53="",1,0)+IF($M53="",1,0)+IF($O53="",1,0)+IF($P53="",1,0)+IF($Q53="",1,0)+IF($T53="",1,0)+IF($V53="",1,0)+IF($Z53="",1,0)+IF($AA53="",1,0)+IF($AB53="",1,0)+IF(AND($AB53="特別徴収を継続（転職先へ引継ぎ）",$AD53=""),1,0)+IF(AND($O53="契約期間満了",$R53=""),1,0)+IF(AND($O53="契約期間満了",$S53=""),1,0))</f>
        <v/>
      </c>
    </row>
    <row r="54">
      <c r="A54" s="47" t="n"/>
      <c r="B54" s="48" t="n"/>
      <c r="C54" s="48" t="n"/>
      <c r="D54" s="64" t="n"/>
      <c r="E54" s="50" t="n"/>
      <c r="F54" s="50" t="n"/>
      <c r="G54" s="50" t="n"/>
      <c r="H54" s="50" t="n"/>
      <c r="I54" s="48" t="n"/>
      <c r="J54" s="48" t="n"/>
      <c r="K54" s="48" t="n"/>
      <c r="L54" s="48" t="n"/>
      <c r="M54" s="56" t="n"/>
      <c r="N54" s="65">
        <f>IF($M54="","",$M54+1)</f>
        <v/>
      </c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52" t="n"/>
      <c r="Y54" s="52" t="n"/>
      <c r="Z54" s="17" t="n"/>
      <c r="AA54" s="17" t="n"/>
      <c r="AB54" s="17" t="n"/>
      <c r="AC54" s="23">
        <f>IF($M54="","",IF(MONTH($M54)&lt;=4,"1〜4月退職：原則 一括徴収（5月分まで）",IF(MONTH($M54)=5,"5月退職：最終月（通常徴収で完了）","6〜12月退職：本人希望で一括／なければ普通徴収")))</f>
        <v/>
      </c>
      <c r="AD54" s="17" t="n"/>
      <c r="AE54" s="17" t="n"/>
      <c r="AF54" s="17" t="n"/>
      <c r="AG54" s="17" t="n"/>
      <c r="AH54" s="17" t="n"/>
      <c r="AI54" s="53">
        <f>IF($A54="","",IF(AJ54&gt;0,"未入力","CSV可"))</f>
        <v/>
      </c>
      <c r="AJ54">
        <f>IF($A54="","",IF($A54="",1,0)+IF($M54="",1,0)+IF($O54="",1,0)+IF($P54="",1,0)+IF($Q54="",1,0)+IF($T54="",1,0)+IF($V54="",1,0)+IF($Z54="",1,0)+IF($AA54="",1,0)+IF($AB54="",1,0)+IF(AND($AB54="特別徴収を継続（転職先へ引継ぎ）",$AD54=""),1,0)+IF(AND($O54="契約期間満了",$R54=""),1,0)+IF(AND($O54="契約期間満了",$S54=""),1,0))</f>
        <v/>
      </c>
    </row>
    <row r="55">
      <c r="A55" s="47" t="n"/>
      <c r="B55" s="48" t="n"/>
      <c r="C55" s="48" t="n"/>
      <c r="D55" s="64" t="n"/>
      <c r="E55" s="50" t="n"/>
      <c r="F55" s="50" t="n"/>
      <c r="G55" s="50" t="n"/>
      <c r="H55" s="50" t="n"/>
      <c r="I55" s="48" t="n"/>
      <c r="J55" s="48" t="n"/>
      <c r="K55" s="48" t="n"/>
      <c r="L55" s="48" t="n"/>
      <c r="M55" s="56" t="n"/>
      <c r="N55" s="65">
        <f>IF($M55="","",$M55+1)</f>
        <v/>
      </c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52" t="n"/>
      <c r="Y55" s="52" t="n"/>
      <c r="Z55" s="17" t="n"/>
      <c r="AA55" s="17" t="n"/>
      <c r="AB55" s="17" t="n"/>
      <c r="AC55" s="23">
        <f>IF($M55="","",IF(MONTH($M55)&lt;=4,"1〜4月退職：原則 一括徴収（5月分まで）",IF(MONTH($M55)=5,"5月退職：最終月（通常徴収で完了）","6〜12月退職：本人希望で一括／なければ普通徴収")))</f>
        <v/>
      </c>
      <c r="AD55" s="17" t="n"/>
      <c r="AE55" s="17" t="n"/>
      <c r="AF55" s="17" t="n"/>
      <c r="AG55" s="17" t="n"/>
      <c r="AH55" s="17" t="n"/>
      <c r="AI55" s="53">
        <f>IF($A55="","",IF(AJ55&gt;0,"未入力","CSV可"))</f>
        <v/>
      </c>
      <c r="AJ55">
        <f>IF($A55="","",IF($A55="",1,0)+IF($M55="",1,0)+IF($O55="",1,0)+IF($P55="",1,0)+IF($Q55="",1,0)+IF($T55="",1,0)+IF($V55="",1,0)+IF($Z55="",1,0)+IF($AA55="",1,0)+IF($AB55="",1,0)+IF(AND($AB55="特別徴収を継続（転職先へ引継ぎ）",$AD55=""),1,0)+IF(AND($O55="契約期間満了",$R55=""),1,0)+IF(AND($O55="契約期間満了",$S55=""),1,0))</f>
        <v/>
      </c>
    </row>
    <row r="56">
      <c r="A56" s="47" t="n"/>
      <c r="B56" s="48" t="n"/>
      <c r="C56" s="48" t="n"/>
      <c r="D56" s="64" t="n"/>
      <c r="E56" s="50" t="n"/>
      <c r="F56" s="50" t="n"/>
      <c r="G56" s="50" t="n"/>
      <c r="H56" s="50" t="n"/>
      <c r="I56" s="48" t="n"/>
      <c r="J56" s="48" t="n"/>
      <c r="K56" s="48" t="n"/>
      <c r="L56" s="48" t="n"/>
      <c r="M56" s="56" t="n"/>
      <c r="N56" s="65">
        <f>IF($M56="","",$M56+1)</f>
        <v/>
      </c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52" t="n"/>
      <c r="Y56" s="52" t="n"/>
      <c r="Z56" s="17" t="n"/>
      <c r="AA56" s="17" t="n"/>
      <c r="AB56" s="17" t="n"/>
      <c r="AC56" s="23">
        <f>IF($M56="","",IF(MONTH($M56)&lt;=4,"1〜4月退職：原則 一括徴収（5月分まで）",IF(MONTH($M56)=5,"5月退職：最終月（通常徴収で完了）","6〜12月退職：本人希望で一括／なければ普通徴収")))</f>
        <v/>
      </c>
      <c r="AD56" s="17" t="n"/>
      <c r="AE56" s="17" t="n"/>
      <c r="AF56" s="17" t="n"/>
      <c r="AG56" s="17" t="n"/>
      <c r="AH56" s="17" t="n"/>
      <c r="AI56" s="53">
        <f>IF($A56="","",IF(AJ56&gt;0,"未入力","CSV可"))</f>
        <v/>
      </c>
      <c r="AJ56">
        <f>IF($A56="","",IF($A56="",1,0)+IF($M56="",1,0)+IF($O56="",1,0)+IF($P56="",1,0)+IF($Q56="",1,0)+IF($T56="",1,0)+IF($V56="",1,0)+IF($Z56="",1,0)+IF($AA56="",1,0)+IF($AB56="",1,0)+IF(AND($AB56="特別徴収を継続（転職先へ引継ぎ）",$AD56=""),1,0)+IF(AND($O56="契約期間満了",$R56=""),1,0)+IF(AND($O56="契約期間満了",$S56=""),1,0))</f>
        <v/>
      </c>
    </row>
    <row r="57">
      <c r="A57" s="47" t="n"/>
      <c r="B57" s="48" t="n"/>
      <c r="C57" s="48" t="n"/>
      <c r="D57" s="64" t="n"/>
      <c r="E57" s="50" t="n"/>
      <c r="F57" s="50" t="n"/>
      <c r="G57" s="50" t="n"/>
      <c r="H57" s="50" t="n"/>
      <c r="I57" s="48" t="n"/>
      <c r="J57" s="48" t="n"/>
      <c r="K57" s="48" t="n"/>
      <c r="L57" s="48" t="n"/>
      <c r="M57" s="56" t="n"/>
      <c r="N57" s="65">
        <f>IF($M57="","",$M57+1)</f>
        <v/>
      </c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52" t="n"/>
      <c r="Y57" s="52" t="n"/>
      <c r="Z57" s="17" t="n"/>
      <c r="AA57" s="17" t="n"/>
      <c r="AB57" s="17" t="n"/>
      <c r="AC57" s="23">
        <f>IF($M57="","",IF(MONTH($M57)&lt;=4,"1〜4月退職：原則 一括徴収（5月分まで）",IF(MONTH($M57)=5,"5月退職：最終月（通常徴収で完了）","6〜12月退職：本人希望で一括／なければ普通徴収")))</f>
        <v/>
      </c>
      <c r="AD57" s="17" t="n"/>
      <c r="AE57" s="17" t="n"/>
      <c r="AF57" s="17" t="n"/>
      <c r="AG57" s="17" t="n"/>
      <c r="AH57" s="17" t="n"/>
      <c r="AI57" s="53">
        <f>IF($A57="","",IF(AJ57&gt;0,"未入力","CSV可"))</f>
        <v/>
      </c>
      <c r="AJ57">
        <f>IF($A57="","",IF($A57="",1,0)+IF($M57="",1,0)+IF($O57="",1,0)+IF($P57="",1,0)+IF($Q57="",1,0)+IF($T57="",1,0)+IF($V57="",1,0)+IF($Z57="",1,0)+IF($AA57="",1,0)+IF($AB57="",1,0)+IF(AND($AB57="特別徴収を継続（転職先へ引継ぎ）",$AD57=""),1,0)+IF(AND($O57="契約期間満了",$R57=""),1,0)+IF(AND($O57="契約期間満了",$S57=""),1,0))</f>
        <v/>
      </c>
    </row>
    <row r="58">
      <c r="A58" s="47" t="n"/>
      <c r="B58" s="48" t="n"/>
      <c r="C58" s="48" t="n"/>
      <c r="D58" s="64" t="n"/>
      <c r="E58" s="50" t="n"/>
      <c r="F58" s="50" t="n"/>
      <c r="G58" s="50" t="n"/>
      <c r="H58" s="50" t="n"/>
      <c r="I58" s="48" t="n"/>
      <c r="J58" s="48" t="n"/>
      <c r="K58" s="48" t="n"/>
      <c r="L58" s="48" t="n"/>
      <c r="M58" s="56" t="n"/>
      <c r="N58" s="65">
        <f>IF($M58="","",$M58+1)</f>
        <v/>
      </c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52" t="n"/>
      <c r="Y58" s="52" t="n"/>
      <c r="Z58" s="17" t="n"/>
      <c r="AA58" s="17" t="n"/>
      <c r="AB58" s="17" t="n"/>
      <c r="AC58" s="23">
        <f>IF($M58="","",IF(MONTH($M58)&lt;=4,"1〜4月退職：原則 一括徴収（5月分まで）",IF(MONTH($M58)=5,"5月退職：最終月（通常徴収で完了）","6〜12月退職：本人希望で一括／なければ普通徴収")))</f>
        <v/>
      </c>
      <c r="AD58" s="17" t="n"/>
      <c r="AE58" s="17" t="n"/>
      <c r="AF58" s="17" t="n"/>
      <c r="AG58" s="17" t="n"/>
      <c r="AH58" s="17" t="n"/>
      <c r="AI58" s="53">
        <f>IF($A58="","",IF(AJ58&gt;0,"未入力","CSV可"))</f>
        <v/>
      </c>
      <c r="AJ58">
        <f>IF($A58="","",IF($A58="",1,0)+IF($M58="",1,0)+IF($O58="",1,0)+IF($P58="",1,0)+IF($Q58="",1,0)+IF($T58="",1,0)+IF($V58="",1,0)+IF($Z58="",1,0)+IF($AA58="",1,0)+IF($AB58="",1,0)+IF(AND($AB58="特別徴収を継続（転職先へ引継ぎ）",$AD58=""),1,0)+IF(AND($O58="契約期間満了",$R58=""),1,0)+IF(AND($O58="契約期間満了",$S58=""),1,0))</f>
        <v/>
      </c>
    </row>
  </sheetData>
  <mergeCells count="19">
    <mergeCell ref="Z6:AA6"/>
    <mergeCell ref="R1:AH1"/>
    <mergeCell ref="A1:Q1"/>
    <mergeCell ref="C4:D4"/>
    <mergeCell ref="E4:F4"/>
    <mergeCell ref="A5:L5"/>
    <mergeCell ref="AF6:AG6"/>
    <mergeCell ref="AB6:AE6"/>
    <mergeCell ref="A3:B3"/>
    <mergeCell ref="G3:H3"/>
    <mergeCell ref="T6:Y6"/>
    <mergeCell ref="A6"/>
    <mergeCell ref="A4:B4"/>
    <mergeCell ref="G4:H4"/>
    <mergeCell ref="B6:L6"/>
    <mergeCell ref="AH6"/>
    <mergeCell ref="M6:S6"/>
    <mergeCell ref="C3:D3"/>
    <mergeCell ref="E3:F3"/>
  </mergeCells>
  <conditionalFormatting sqref="G4">
    <cfRule type="dataBar" priority="1">
      <dataBar showValue="1">
        <cfvo type="num" val="0"/>
        <cfvo type="num" val="1"/>
        <color rgb="0063C384"/>
      </dataBar>
    </cfRule>
  </conditionalFormatting>
  <conditionalFormatting sqref="A5">
    <cfRule type="expression" priority="2" dxfId="0" stopIfTrue="1">
      <formula>ISNUMBER(SEARCH("未入力はありません",A5))</formula>
    </cfRule>
    <cfRule type="expression" priority="3" dxfId="1" stopIfTrue="1">
      <formula>ISNUMBER(SEARCH("未入力が",A5))</formula>
    </cfRule>
  </conditionalFormatting>
  <conditionalFormatting sqref="M9:M58">
    <cfRule type="expression" priority="4" dxfId="2" stopIfTrue="1">
      <formula>AND($A9&lt;&gt;"",M9="")</formula>
    </cfRule>
    <cfRule type="expression" priority="32" dxfId="1" stopIfTrue="1">
      <formula>AND(ISNUMBER(M9),M9&gt;80000)</formula>
    </cfRule>
  </conditionalFormatting>
  <conditionalFormatting sqref="O9:O58">
    <cfRule type="expression" priority="5" dxfId="2" stopIfTrue="1">
      <formula>AND($A9&lt;&gt;"",O9="")</formula>
    </cfRule>
  </conditionalFormatting>
  <conditionalFormatting sqref="P9:P58">
    <cfRule type="expression" priority="6" dxfId="2" stopIfTrue="1">
      <formula>AND($A9&lt;&gt;"",P9="")</formula>
    </cfRule>
  </conditionalFormatting>
  <conditionalFormatting sqref="Q9:Q58">
    <cfRule type="expression" priority="7" dxfId="2" stopIfTrue="1">
      <formula>AND($A9&lt;&gt;"",Q9="")</formula>
    </cfRule>
  </conditionalFormatting>
  <conditionalFormatting sqref="T9:T58">
    <cfRule type="expression" priority="8" dxfId="2" stopIfTrue="1">
      <formula>AND($A9&lt;&gt;"",T9="")</formula>
    </cfRule>
  </conditionalFormatting>
  <conditionalFormatting sqref="V9:V58">
    <cfRule type="expression" priority="9" dxfId="2" stopIfTrue="1">
      <formula>AND($A9&lt;&gt;"",V9="")</formula>
    </cfRule>
  </conditionalFormatting>
  <conditionalFormatting sqref="Z9:Z58">
    <cfRule type="expression" priority="10" dxfId="2" stopIfTrue="1">
      <formula>AND($A9&lt;&gt;"",Z9="")</formula>
    </cfRule>
  </conditionalFormatting>
  <conditionalFormatting sqref="AA9:AA58">
    <cfRule type="expression" priority="11" dxfId="2" stopIfTrue="1">
      <formula>AND($A9&lt;&gt;"",AA9="")</formula>
    </cfRule>
  </conditionalFormatting>
  <conditionalFormatting sqref="AB9:AB58">
    <cfRule type="expression" priority="12" dxfId="2" stopIfTrue="1">
      <formula>AND($A9&lt;&gt;"",AB9="")</formula>
    </cfRule>
  </conditionalFormatting>
  <conditionalFormatting sqref="A9:A58">
    <cfRule type="expression" priority="13" dxfId="2" stopIfTrue="1">
      <formula>AND($A9="",OR($M9&lt;&gt;"",$O9&lt;&gt;""))</formula>
    </cfRule>
  </conditionalFormatting>
  <conditionalFormatting sqref="AD9:AD58">
    <cfRule type="expression" priority="14" dxfId="2" stopIfTrue="1">
      <formula>AND($AB9="特別徴収を継続（転職先へ引継ぎ）",AD9="")</formula>
    </cfRule>
    <cfRule type="expression" priority="17" dxfId="3" stopIfTrue="1">
      <formula>AND($AB9&lt;&gt;"",$AB9&lt;&gt;"特別徴収を継続（転職先へ引継ぎ）",AD9="")</formula>
    </cfRule>
  </conditionalFormatting>
  <conditionalFormatting sqref="R9:R58">
    <cfRule type="expression" priority="15" dxfId="2" stopIfTrue="1">
      <formula>AND($O9="契約期間満了",R9="")</formula>
    </cfRule>
    <cfRule type="expression" priority="18" dxfId="3" stopIfTrue="1">
      <formula>AND($O9&lt;&gt;"",$O9&lt;&gt;"契約期間満了",R9="")</formula>
    </cfRule>
  </conditionalFormatting>
  <conditionalFormatting sqref="S9:S58">
    <cfRule type="expression" priority="16" dxfId="2" stopIfTrue="1">
      <formula>AND($O9="契約期間満了",S9="")</formula>
    </cfRule>
    <cfRule type="expression" priority="19" dxfId="3" stopIfTrue="1">
      <formula>AND($O9&lt;&gt;"",$O9&lt;&gt;"契約期間満了",S9="")</formula>
    </cfRule>
  </conditionalFormatting>
  <conditionalFormatting sqref="B9:B58">
    <cfRule type="expression" priority="20" dxfId="1" stopIfTrue="1">
      <formula>AND(B9&lt;&gt;"",LENB(B9)&lt;&gt;LEN(B9)*2)</formula>
    </cfRule>
    <cfRule type="expression" priority="21" dxfId="1" stopIfTrue="1">
      <formula>AND(B9&lt;&gt;"",ISERROR(FIND("　",B9)),ISERROR(FIND(" ",B9)))</formula>
    </cfRule>
  </conditionalFormatting>
  <conditionalFormatting sqref="C9:C58">
    <cfRule type="expression" priority="22" dxfId="1" stopIfTrue="1">
      <formula>AND(C9&lt;&gt;"",LENB(C9)&lt;&gt;LEN(C9)*2)</formula>
    </cfRule>
    <cfRule type="expression" priority="23" dxfId="1" stopIfTrue="1">
      <formula>AND(C9&lt;&gt;"",ISERROR(FIND("　",C9)),ISERROR(FIND(" ",C9)))</formula>
    </cfRule>
  </conditionalFormatting>
  <conditionalFormatting sqref="D9:D58">
    <cfRule type="expression" priority="24" dxfId="1" stopIfTrue="1">
      <formula>AND(ISNUMBER(D9),D9&gt;80000)</formula>
    </cfRule>
  </conditionalFormatting>
  <conditionalFormatting sqref="E9:E58">
    <cfRule type="expression" priority="25" dxfId="1" stopIfTrue="1">
      <formula>AND(E9&lt;&gt;"",LENB(E9)&lt;&gt;LEN(E9))</formula>
    </cfRule>
  </conditionalFormatting>
  <conditionalFormatting sqref="F9:F58">
    <cfRule type="expression" priority="26" dxfId="1" stopIfTrue="1">
      <formula>AND(F9&lt;&gt;"",LENB(F9)&lt;&gt;LEN(F9))</formula>
    </cfRule>
  </conditionalFormatting>
  <conditionalFormatting sqref="G9:G58">
    <cfRule type="expression" priority="27" dxfId="1" stopIfTrue="1">
      <formula>AND(G9&lt;&gt;"",LENB(G9)&lt;&gt;LEN(G9))</formula>
    </cfRule>
  </conditionalFormatting>
  <conditionalFormatting sqref="H9:H58">
    <cfRule type="expression" priority="28" dxfId="1" stopIfTrue="1">
      <formula>AND(H9&lt;&gt;"",LENB(H9)&lt;&gt;LEN(H9))</formula>
    </cfRule>
  </conditionalFormatting>
  <conditionalFormatting sqref="J9:J58">
    <cfRule type="expression" priority="29" dxfId="1" stopIfTrue="1">
      <formula>AND(J9&lt;&gt;"",LENB(J9)&lt;&gt;LEN(J9)*2)</formula>
    </cfRule>
  </conditionalFormatting>
  <conditionalFormatting sqref="K9:K58">
    <cfRule type="expression" priority="30" dxfId="1" stopIfTrue="1">
      <formula>AND(K9&lt;&gt;"",LENB(K9)&lt;&gt;LEN(K9)*2)</formula>
    </cfRule>
  </conditionalFormatting>
  <conditionalFormatting sqref="L9:L58">
    <cfRule type="expression" priority="31" dxfId="1" stopIfTrue="1">
      <formula>AND(L9&lt;&gt;"",LENB(L9)&lt;&gt;LEN(L9))</formula>
    </cfRule>
  </conditionalFormatting>
  <conditionalFormatting sqref="AE9:AE58">
    <cfRule type="expression" priority="33" dxfId="1" stopIfTrue="1">
      <formula>AND(AE9&lt;&gt;"",LENB(AE9)&lt;&gt;LEN(AE9)*2)</formula>
    </cfRule>
  </conditionalFormatting>
  <conditionalFormatting sqref="AI9:AI58">
    <cfRule type="expression" priority="34" dxfId="0" stopIfTrue="1">
      <formula>AI9="CSV可"</formula>
    </cfRule>
    <cfRule type="expression" priority="35" dxfId="1" stopIfTrue="1">
      <formula>AI9="未入力"</formula>
    </cfRule>
  </conditionalFormatting>
  <dataValidations count="15">
    <dataValidation sqref="A8:A58" showDropDown="0" showInputMessage="1" showErrorMessage="1" allowBlank="1" promptTitle="入力のヒント" prompt="従業員台帳の社員番号（共通のユニークキー）。この番号で本人を特定し、不変情報を紐付けます。" type="whole" errorStyle="stop" operator="between">
      <formula1>1</formula1>
      <formula2>99999</formula2>
    </dataValidation>
    <dataValidation sqref="M8:M58" showDropDown="0" showInputMessage="1" showErrorMessage="1" allowBlank="1" promptTitle="入力のヒント" prompt="西暦 YYYY/MM/DD（例 2026/7/1）。" type="whole" errorStyle="warning" operator="between">
      <formula1>1</formula1>
      <formula2>99999999</formula2>
    </dataValidation>
    <dataValidation sqref="O8:O58" showDropDown="0" showInputMessage="1" showErrorMessage="1" allowBlank="1" promptTitle="入力のヒント" prompt="実際の退職事由を選択。" type="list" errorStyle="stop">
      <formula1>m_退職理由</formula1>
    </dataValidation>
    <dataValidation sqref="P8:P58" showDropDown="0" showInputMessage="1" showErrorMessage="1" allowBlank="1" promptTitle="入力のヒント" prompt="雇用保険の離職理由区分の目安。最終判断は社労士・ハローワーク。" type="list" errorStyle="stop">
      <formula1>m_離職理由区分</formula1>
    </dataValidation>
    <dataValidation sqref="R8:R58" showDropDown="0" showInputMessage="1" showErrorMessage="1" allowBlank="1" promptTitle="入力のヒント" prompt="有期契約（退職理由＝契約期間満了）のとき必須。&#10;契約書に更新の定めがあったか。離職理由区分・給付制限・所定給付日数の判定に直結します。" type="list" errorStyle="stop">
      <formula1>m_契約更新条項</formula1>
    </dataValidation>
    <dataValidation sqref="S8:S58" showDropDown="0" showInputMessage="1" showErrorMessage="1" allowBlank="1" promptTitle="入力のヒント" prompt="有期契約（退職理由＝契約期間満了）のとき必須。&#10;本人が契約更新を希望していたか。雇止めの離職理由区分の判定に使用します。" type="list" errorStyle="stop">
      <formula1>m_更新希望</formula1>
    </dataValidation>
    <dataValidation sqref="T8:T58" showDropDown="0" showInputMessage="1" showErrorMessage="1" allowBlank="1" promptTitle="入力のヒント" prompt="本人が離職票（基本手当の申請）を希望するか。" type="list" errorStyle="stop">
      <formula1>m_ありなし</formula1>
    </dataValidation>
    <dataValidation sqref="V8:V58" showDropDown="0" showInputMessage="1" showErrorMessage="1" allowBlank="1" promptTitle="入力のヒント" prompt="離職証明書の賃金欄作成のため、離職前6か月（賃金）・12か月（基礎日数）の台帳添付があるか。" type="list" errorStyle="stop">
      <formula1>m_ありなし</formula1>
    </dataValidation>
    <dataValidation sqref="X8:X58" showDropDown="0" showInputMessage="1" showErrorMessage="1" allowBlank="1" promptTitle="入力のヒント" prompt="直近1か月の賃金総額（参考）。詳細は台帳で。" type="whole" errorStyle="stop" operator="between">
      <formula1>0</formula1>
      <formula2>100000000</formula2>
    </dataValidation>
    <dataValidation sqref="Y8:Y58" showDropDown="0" showInputMessage="1" showErrorMessage="1" allowBlank="1" promptTitle="入力のヒント" prompt="退職前直近の賞与額（参考）。" type="whole" errorStyle="stop" operator="between">
      <formula1>0</formula1>
      <formula2>100000000</formula2>
    </dataValidation>
    <dataValidation sqref="Z8:Z58" showDropDown="0" showInputMessage="1" showErrorMessage="1" allowBlank="1" promptTitle="入力のヒント" prompt="本人・被扶養者分の保険証/資格確認書の回収状況。" type="list" errorStyle="stop">
      <formula1>m_回収状況</formula1>
    </dataValidation>
    <dataValidation sqref="AA8:AA58" showDropDown="0" showInputMessage="1" showErrorMessage="1" allowBlank="1" promptTitle="入力のヒント" prompt="退職後の医療保険の予定（任意継続・扶養・国保）。" type="list" errorStyle="stop">
      <formula1>m_退職後</formula1>
    </dataValidation>
    <dataValidation sqref="AB8:AB58" showDropDown="0" showInputMessage="1" showErrorMessage="1" allowBlank="1" promptTitle="入力のヒント" prompt="退職後の住民税の取扱い。&#10;特別徴収の継続（転職先へ引継ぎ）／一括徴収（最終給与・退職金から）／普通徴収へ切替（自分で納付）から選択。" type="list" errorStyle="stop">
      <formula1>m_住民税</formula1>
    </dataValidation>
    <dataValidation sqref="AF8:AF58" showDropDown="0" showInputMessage="1" showErrorMessage="1" allowBlank="1" promptTitle="入力のヒント" prompt="退職金（退職手当）の支給予定の有無。" type="list" errorStyle="stop">
      <formula1>m_退職金</formula1>
    </dataValidation>
    <dataValidation sqref="AG8:AG58" showDropDown="0" showInputMessage="1" showErrorMessage="1" allowBlank="1" promptTitle="入力のヒント" prompt="退職金がある場合、本人から『退職所得の受給に関する申告書』を受領。&#10;未提出だと退職金に一律20.42%が源泉徴収されます。" type="list" errorStyle="stop">
      <formula1>m_退職所得申告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.5" customHeight="1">
      <c r="A1" s="54" t="inlineStr">
        <is>
          <t>性別</t>
        </is>
      </c>
      <c r="B1" s="54" t="inlineStr">
        <is>
          <t>あり/なし</t>
        </is>
      </c>
      <c r="C1" s="54" t="inlineStr">
        <is>
          <t>退職理由</t>
        </is>
      </c>
      <c r="D1" s="54" t="inlineStr">
        <is>
          <t>離職理由区分</t>
        </is>
      </c>
      <c r="E1" s="54" t="inlineStr">
        <is>
          <t>契約更新条項</t>
        </is>
      </c>
      <c r="F1" s="54" t="inlineStr">
        <is>
          <t>更新希望</t>
        </is>
      </c>
      <c r="G1" s="54" t="inlineStr">
        <is>
          <t>回収状況</t>
        </is>
      </c>
      <c r="H1" s="54" t="inlineStr">
        <is>
          <t>退職後</t>
        </is>
      </c>
      <c r="I1" s="54" t="inlineStr">
        <is>
          <t>住民税徴収方法</t>
        </is>
      </c>
      <c r="J1" s="54" t="inlineStr">
        <is>
          <t>退職金支給</t>
        </is>
      </c>
      <c r="K1" s="54" t="inlineStr">
        <is>
          <t>退職所得申告書</t>
        </is>
      </c>
    </row>
    <row r="2">
      <c r="A2" s="55" t="inlineStr">
        <is>
          <t>男</t>
        </is>
      </c>
      <c r="B2" s="55" t="inlineStr">
        <is>
          <t>あり</t>
        </is>
      </c>
      <c r="C2" s="55" t="inlineStr">
        <is>
          <t>自己都合</t>
        </is>
      </c>
      <c r="D2" s="55" t="inlineStr">
        <is>
          <t>一般（自己都合等）</t>
        </is>
      </c>
      <c r="E2" s="55" t="inlineStr">
        <is>
          <t>該当なし（無期契約）</t>
        </is>
      </c>
      <c r="F2" s="55" t="inlineStr">
        <is>
          <t>該当なし</t>
        </is>
      </c>
      <c r="G2" s="55" t="inlineStr">
        <is>
          <t>回収済</t>
        </is>
      </c>
      <c r="H2" s="55" t="inlineStr">
        <is>
          <t>任意継続を希望</t>
        </is>
      </c>
      <c r="I2" s="55" t="inlineStr">
        <is>
          <t>特別徴収を継続（転職先へ引継ぎ）</t>
        </is>
      </c>
      <c r="J2" s="55" t="inlineStr">
        <is>
          <t>あり</t>
        </is>
      </c>
      <c r="K2" s="55" t="inlineStr">
        <is>
          <t>受領済</t>
        </is>
      </c>
    </row>
    <row r="3">
      <c r="A3" s="55" t="inlineStr">
        <is>
          <t>女</t>
        </is>
      </c>
      <c r="B3" s="55" t="inlineStr">
        <is>
          <t>なし</t>
        </is>
      </c>
      <c r="C3" s="55" t="inlineStr">
        <is>
          <t>会社都合（解雇）</t>
        </is>
      </c>
      <c r="D3" s="55" t="inlineStr">
        <is>
          <t>特定受給資格者（解雇・倒産等）</t>
        </is>
      </c>
      <c r="E3" s="55" t="inlineStr">
        <is>
          <t>更新の明示なし</t>
        </is>
      </c>
      <c r="F3" s="55" t="inlineStr">
        <is>
          <t>更新を希望していた</t>
        </is>
      </c>
      <c r="G3" s="55" t="inlineStr">
        <is>
          <t>未回収</t>
        </is>
      </c>
      <c r="H3" s="55" t="inlineStr">
        <is>
          <t>家族の扶養に入る</t>
        </is>
      </c>
      <c r="I3" s="55" t="inlineStr">
        <is>
          <t>一括徴収（最終給与・退職金から）</t>
        </is>
      </c>
      <c r="J3" s="55" t="inlineStr">
        <is>
          <t>なし</t>
        </is>
      </c>
      <c r="K3" s="55" t="inlineStr">
        <is>
          <t>未受領</t>
        </is>
      </c>
    </row>
    <row r="4">
      <c r="C4" s="55" t="inlineStr">
        <is>
          <t>定年</t>
        </is>
      </c>
      <c r="D4" s="55" t="inlineStr">
        <is>
          <t>特定理由離職者（雇止め・正当な理由の自己都合）</t>
        </is>
      </c>
      <c r="E4" s="55" t="inlineStr">
        <is>
          <t>更新する場合がある旨の明示あり</t>
        </is>
      </c>
      <c r="F4" s="55" t="inlineStr">
        <is>
          <t>更新を希望しなかった</t>
        </is>
      </c>
      <c r="G4" s="55" t="inlineStr">
        <is>
          <t>本人保管（資格確認書）</t>
        </is>
      </c>
      <c r="H4" s="55" t="inlineStr">
        <is>
          <t>国民健康保険へ</t>
        </is>
      </c>
      <c r="I4" s="55" t="inlineStr">
        <is>
          <t>普通徴収へ切替（自分で納付）</t>
        </is>
      </c>
      <c r="J4" s="55" t="inlineStr">
        <is>
          <t>未定</t>
        </is>
      </c>
      <c r="K4" s="55" t="inlineStr">
        <is>
          <t>該当なし</t>
        </is>
      </c>
    </row>
    <row r="5">
      <c r="C5" s="55" t="inlineStr">
        <is>
          <t>契約期間満了</t>
        </is>
      </c>
      <c r="D5" s="55" t="inlineStr">
        <is>
          <t>区分不明</t>
        </is>
      </c>
      <c r="E5" s="55" t="inlineStr">
        <is>
          <t>更新する旨の明示あり（自動更新含む）</t>
        </is>
      </c>
      <c r="G5" s="55" t="inlineStr">
        <is>
          <t>対象外</t>
        </is>
      </c>
      <c r="H5" s="55" t="inlineStr">
        <is>
          <t>未定・不明</t>
        </is>
      </c>
      <c r="I5" s="55" t="inlineStr">
        <is>
          <t>不明・要相談</t>
        </is>
      </c>
    </row>
    <row r="6">
      <c r="C6" s="55" t="inlineStr">
        <is>
          <t>役員退任</t>
        </is>
      </c>
    </row>
    <row r="7">
      <c r="C7" s="55" t="inlineStr">
        <is>
          <t>death（死亡）</t>
        </is>
      </c>
    </row>
    <row r="8">
      <c r="C8" s="55" t="inlineStr">
        <is>
          <t>その他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55" t="inlineStr">
        <is>
          <t>データシート</t>
        </is>
      </c>
      <c r="B1" s="55" t="inlineStr">
        <is>
          <t>退職 情報</t>
        </is>
      </c>
      <c r="C1" s="55" t="n"/>
      <c r="D1" s="55" t="n"/>
    </row>
    <row r="2">
      <c r="A2" s="55" t="inlineStr">
        <is>
          <t>開始行</t>
        </is>
      </c>
      <c r="B2" s="55" t="n">
        <v>9</v>
      </c>
      <c r="C2" s="55" t="n"/>
      <c r="D2" s="55" t="n"/>
    </row>
    <row r="3">
      <c r="A3" s="55" t="inlineStr">
        <is>
          <t>終了行</t>
        </is>
      </c>
      <c r="B3" s="55" t="n">
        <v>58</v>
      </c>
      <c r="C3" s="55" t="n"/>
      <c r="D3" s="55" t="n"/>
    </row>
    <row r="4">
      <c r="A4" s="55" t="inlineStr">
        <is>
          <t>見出し行</t>
        </is>
      </c>
      <c r="B4" s="55" t="n">
        <v>7</v>
      </c>
      <c r="C4" s="55" t="n"/>
      <c r="D4" s="55" t="n"/>
    </row>
    <row r="5">
      <c r="A5" s="55" t="inlineStr">
        <is>
          <t>B</t>
        </is>
      </c>
      <c r="B5" s="55" t="inlineStr">
        <is>
          <t>kanji</t>
        </is>
      </c>
      <c r="C5" s="55" t="inlineStr">
        <is>
          <t>氏名（漢字）</t>
        </is>
      </c>
      <c r="D5" s="55" t="n">
        <v>0</v>
      </c>
    </row>
    <row r="6">
      <c r="A6" s="55" t="inlineStr">
        <is>
          <t>C</t>
        </is>
      </c>
      <c r="B6" s="55" t="inlineStr">
        <is>
          <t>kana</t>
        </is>
      </c>
      <c r="C6" s="55" t="inlineStr">
        <is>
          <t>氏名（フリガナ）</t>
        </is>
      </c>
      <c r="D6" s="55" t="n">
        <v>25</v>
      </c>
    </row>
    <row r="7">
      <c r="A7" s="55" t="inlineStr">
        <is>
          <t>D</t>
        </is>
      </c>
      <c r="B7" s="55" t="inlineStr">
        <is>
          <t>date</t>
        </is>
      </c>
      <c r="C7" s="55" t="inlineStr">
        <is>
          <t>生年月日</t>
        </is>
      </c>
      <c r="D7" s="55" t="n">
        <v>0</v>
      </c>
    </row>
    <row r="8">
      <c r="A8" s="55" t="inlineStr">
        <is>
          <t>E</t>
        </is>
      </c>
      <c r="B8" s="55" t="inlineStr">
        <is>
          <t>num</t>
        </is>
      </c>
      <c r="C8" s="55" t="inlineStr">
        <is>
          <t>マイナンバー(12桁)</t>
        </is>
      </c>
      <c r="D8" s="55" t="n">
        <v>0</v>
      </c>
    </row>
    <row r="9">
      <c r="A9" s="55" t="inlineStr">
        <is>
          <t>F</t>
        </is>
      </c>
      <c r="B9" s="55" t="inlineStr">
        <is>
          <t>numh</t>
        </is>
      </c>
      <c r="C9" s="55" t="inlineStr">
        <is>
          <t>基礎年金番号(10桁)</t>
        </is>
      </c>
      <c r="D9" s="55" t="n">
        <v>0</v>
      </c>
    </row>
    <row r="10">
      <c r="A10" s="55" t="inlineStr">
        <is>
          <t>G</t>
        </is>
      </c>
      <c r="B10" s="55" t="inlineStr">
        <is>
          <t>numh</t>
        </is>
      </c>
      <c r="C10" s="55" t="inlineStr">
        <is>
          <t>雇用保険被保険者番号(11桁)</t>
        </is>
      </c>
      <c r="D10" s="55" t="n">
        <v>0</v>
      </c>
    </row>
    <row r="11">
      <c r="A11" s="55" t="inlineStr">
        <is>
          <t>H</t>
        </is>
      </c>
      <c r="B11" s="55" t="inlineStr">
        <is>
          <t>numh</t>
        </is>
      </c>
      <c r="C11" s="55" t="inlineStr">
        <is>
          <t>郵便番号</t>
        </is>
      </c>
      <c r="D11" s="55" t="n">
        <v>0</v>
      </c>
    </row>
    <row r="12">
      <c r="A12" s="55" t="inlineStr">
        <is>
          <t>J</t>
        </is>
      </c>
      <c r="B12" s="55" t="inlineStr">
        <is>
          <t>zen</t>
        </is>
      </c>
      <c r="C12" s="55" t="inlineStr">
        <is>
          <t>市区町村以下</t>
        </is>
      </c>
      <c r="D12" s="55" t="n">
        <v>0</v>
      </c>
    </row>
    <row r="13">
      <c r="A13" s="55" t="inlineStr">
        <is>
          <t>K</t>
        </is>
      </c>
      <c r="B13" s="55" t="inlineStr">
        <is>
          <t>zen</t>
        </is>
      </c>
      <c r="C13" s="55" t="inlineStr">
        <is>
          <t>建物名・部屋番号</t>
        </is>
      </c>
      <c r="D13" s="55" t="n">
        <v>0</v>
      </c>
    </row>
    <row r="14">
      <c r="A14" s="55" t="inlineStr">
        <is>
          <t>L</t>
        </is>
      </c>
      <c r="B14" s="55" t="inlineStr">
        <is>
          <t>numh</t>
        </is>
      </c>
      <c r="C14" s="55" t="inlineStr">
        <is>
          <t>電話番号</t>
        </is>
      </c>
      <c r="D14" s="55" t="n">
        <v>0</v>
      </c>
    </row>
    <row r="15">
      <c r="A15" s="55" t="inlineStr">
        <is>
          <t>M</t>
        </is>
      </c>
      <c r="B15" s="55" t="inlineStr">
        <is>
          <t>date</t>
        </is>
      </c>
      <c r="C15" s="55" t="inlineStr">
        <is>
          <t>離職日（退職日）</t>
        </is>
      </c>
      <c r="D15" s="55" t="n">
        <v>0</v>
      </c>
    </row>
    <row r="16">
      <c r="A16" s="55" t="inlineStr">
        <is>
          <t>AE</t>
        </is>
      </c>
      <c r="B16" s="55" t="inlineStr">
        <is>
          <t>zen</t>
        </is>
      </c>
      <c r="C16" s="55" t="inlineStr">
        <is>
          <t>課税市区町村（異動届の提出先）</t>
        </is>
      </c>
      <c r="D16" s="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2026-07-04T00:07:30Z</dcterms:created>
  <dcterms:modified xmlns:dcterms="http://purl.org/dc/terms/" xmlns:xsi="http://www.w3.org/2001/XMLSchema-instance" xsi:type="dcterms:W3CDTF">2026-09-10T13:50:01Z</dcterms:modified>
</cp:coreProperties>
</file>