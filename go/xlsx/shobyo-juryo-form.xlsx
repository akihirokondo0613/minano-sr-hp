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お読みください" sheetId="1" state="visible" r:id="rId1"/>
    <sheet xmlns:r="http://schemas.openxmlformats.org/officeDocument/2006/relationships" name="提出チェック・添付・返送" sheetId="2" state="visible" r:id="rId2"/>
    <sheet xmlns:r="http://schemas.openxmlformats.org/officeDocument/2006/relationships" name="傷病手当金 情報" sheetId="3" state="visible" r:id="rId3"/>
    <sheet xmlns:r="http://schemas.openxmlformats.org/officeDocument/2006/relationships" name="_マスタ（非表示）" sheetId="4" state="hidden" r:id="rId4"/>
    <sheet xmlns:r="http://schemas.openxmlformats.org/officeDocument/2006/relationships" name="_制御（非表示）" sheetId="5" state="hidden" r:id="rId5"/>
  </sheets>
  <definedNames>
    <definedName name="m_性別">'_マスタ（非表示）'!$A$2:$A$3</definedName>
    <definedName name="m_ありなし">'_マスタ（非表示）'!$B$2:$B$3</definedName>
    <definedName name="m_都道府県">'_マスタ（非表示）'!$C$2:$C$48</definedName>
    <definedName name="m_番号提出状態">'_マスタ（非表示）'!$D$2:$D$3</definedName>
    <definedName name="m_後日提出">'_マスタ（非表示）'!$E$2:$E$2</definedName>
    <definedName name="m_雇保番号状態">'_マスタ（非表示）'!$F$2:$F$3</definedName>
    <definedName name="m_業務上外">'_マスタ（非表示）'!$G$2:$G$4</definedName>
    <definedName name="m_入通院">'_マスタ（非表示）'!$H$2:$H$4</definedName>
    <definedName name="m_報酬支払">'_マスタ（非表示）'!$I$2:$I$4</definedName>
    <definedName name="m_在職退職">'_マスタ（非表示）'!$J$2:$J$3</definedName>
    <definedName name="m_待期">'_マスタ（非表示）'!$K$2:$K$4</definedName>
    <definedName name="_xlnm.Print_Titles" localSheetId="2">'傷病手当金 情報'!$1:$7</definedName>
  </definedNames>
  <calcPr calcId="124519" fullCalcOnLoad="1"/>
</workbook>
</file>

<file path=xl/styles.xml><?xml version="1.0" encoding="utf-8"?>
<styleSheet xmlns="http://schemas.openxmlformats.org/spreadsheetml/2006/main">
  <numFmts count="4">
    <numFmt numFmtId="164" formatCode="0&quot;件&quot;"/>
    <numFmt numFmtId="165" formatCode="yyyy-mm-dd"/>
    <numFmt numFmtId="166" formatCode="yyyy/mm/dd"/>
    <numFmt numFmtId="167" formatCode="0&quot;日&quot;"/>
  </numFmts>
  <fonts count="15">
    <font>
      <name val="Calibri"/>
      <family val="2"/>
      <color theme="1"/>
      <sz val="11"/>
      <scheme val="minor"/>
    </font>
    <font>
      <name val="游ゴシック"/>
      <b val="1"/>
      <color rgb="00FFFFFF"/>
      <sz val="11"/>
    </font>
    <font>
      <name val="游ゴシック"/>
      <color rgb="00000000"/>
      <sz val="11"/>
    </font>
    <font>
      <name val="游ゴシック"/>
      <b val="1"/>
      <color rgb="001F4E79"/>
      <sz val="18"/>
    </font>
    <font>
      <name val="游ゴシック"/>
      <b val="1"/>
      <color rgb="00555555"/>
      <sz val="12"/>
    </font>
    <font>
      <name val="游ゴシック"/>
      <b val="1"/>
      <color rgb="00FFFFFF"/>
      <sz val="12"/>
    </font>
    <font>
      <name val="游ゴシック"/>
      <b val="1"/>
      <color rgb="001F3864"/>
      <sz val="11"/>
    </font>
    <font>
      <name val="游ゴシック"/>
      <b val="1"/>
      <color rgb="00000000"/>
      <sz val="11"/>
    </font>
    <font>
      <name val="游ゴシック"/>
      <b val="1"/>
      <color rgb="001F4E79"/>
      <sz val="16"/>
    </font>
    <font>
      <name val="游ゴシック"/>
      <b val="1"/>
      <color rgb="00C00000"/>
      <sz val="11"/>
    </font>
    <font>
      <name val="游ゴシック"/>
      <b val="1"/>
      <color rgb="001F4E79"/>
      <sz val="11"/>
    </font>
    <font>
      <name val="游ゴシック"/>
      <b val="1"/>
      <color rgb="00000000"/>
      <sz val="14"/>
    </font>
    <font>
      <name val="游ゴシック"/>
      <b val="1"/>
      <i val="1"/>
      <color rgb="002E75B6"/>
      <sz val="11"/>
    </font>
    <font>
      <name val="游ゴシック"/>
      <i val="1"/>
      <color rgb="00000000"/>
      <sz val="11"/>
    </font>
    <font>
      <name val="游ゴシック"/>
      <color rgb="00555555"/>
      <sz val="11"/>
    </font>
  </fonts>
  <fills count="19">
    <fill>
      <patternFill/>
    </fill>
    <fill>
      <patternFill patternType="gray125"/>
    </fill>
    <fill>
      <patternFill patternType="solid">
        <fgColor rgb="00808080"/>
      </patternFill>
    </fill>
    <fill>
      <patternFill patternType="solid">
        <fgColor rgb="001F4E79"/>
      </patternFill>
    </fill>
    <fill>
      <patternFill patternType="solid">
        <fgColor rgb="00FFF2CC"/>
      </patternFill>
    </fill>
    <fill>
      <patternFill patternType="solid">
        <fgColor rgb="00E7E6E6"/>
      </patternFill>
    </fill>
    <fill>
      <patternFill patternType="solid">
        <fgColor rgb="00D9D9D9"/>
      </patternFill>
    </fill>
    <fill>
      <patternFill patternType="solid">
        <fgColor rgb="00FCE4E4"/>
      </patternFill>
    </fill>
    <fill>
      <patternFill patternType="solid">
        <fgColor rgb="00FCE4D6"/>
      </patternFill>
    </fill>
    <fill>
      <patternFill patternType="darkUp">
        <fgColor rgb="00808080"/>
        <bgColor rgb="00595959"/>
      </patternFill>
    </fill>
    <fill>
      <patternFill patternType="solid">
        <fgColor rgb="00E2EFDA"/>
      </patternFill>
    </fill>
    <fill>
      <patternFill patternType="solid">
        <fgColor rgb="00EAF1FB"/>
      </patternFill>
    </fill>
    <fill>
      <patternFill patternType="solid">
        <fgColor rgb="00FFFFFF"/>
      </patternFill>
    </fill>
    <fill>
      <patternFill patternType="solid">
        <fgColor rgb="00D9E1F2"/>
      </patternFill>
    </fill>
    <fill>
      <patternFill patternType="solid">
        <fgColor rgb="00DDEBF7"/>
      </patternFill>
    </fill>
    <fill>
      <patternFill patternType="solid">
        <fgColor rgb="00E2F0D9"/>
      </patternFill>
    </fill>
    <fill>
      <patternFill patternType="solid">
        <fgColor rgb="00BDD7EE"/>
      </patternFill>
    </fill>
    <fill>
      <patternFill patternType="solid">
        <fgColor rgb="00EAF3FB"/>
      </patternFill>
    </fill>
    <fill>
      <patternFill patternType="solid">
        <f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left" vertical="center"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0" borderId="0" pivotButton="0" quotePrefix="0" xfId="0"/>
    <xf numFmtId="0" fontId="14" fillId="18" borderId="0" applyAlignment="1" pivotButton="0" quotePrefix="0" xfId="0">
      <alignment horizontal="left" vertical="top" wrapText="1"/>
    </xf>
    <xf numFmtId="0" fontId="6" fillId="4" borderId="1" applyAlignment="1" pivotButton="0" quotePrefix="0" xfId="0">
      <alignment horizontal="left" vertical="center" wrapText="1"/>
    </xf>
    <xf numFmtId="0" fontId="2" fillId="0" borderId="1" applyAlignment="1" applyProtection="1" pivotButton="0" quotePrefix="0" xfId="0">
      <alignment horizontal="center" vertical="center" wrapText="1"/>
      <protection locked="0" hidden="0"/>
    </xf>
    <xf numFmtId="0" fontId="14" fillId="0" borderId="1" applyAlignment="1" pivotButton="0" quotePrefix="0" xfId="0">
      <alignment horizontal="left" vertical="top" wrapText="1"/>
    </xf>
    <xf numFmtId="166" fontId="2" fillId="0" borderId="1" applyAlignment="1" applyProtection="1" pivotButton="0" quotePrefix="0" xfId="0">
      <alignment horizontal="center" vertical="center" wrapText="1"/>
      <protection locked="0" hidden="0"/>
    </xf>
    <xf numFmtId="0" fontId="6" fillId="6" borderId="1" applyAlignment="1" pivotButton="0" quotePrefix="0" xfId="0">
      <alignment horizontal="left" vertical="center" wrapText="1"/>
    </xf>
    <xf numFmtId="164" fontId="2" fillId="6"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14" fillId="0" borderId="0" applyAlignment="1" pivotButton="0" quotePrefix="0" xfId="0">
      <alignment horizontal="left" vertical="top" wrapText="1"/>
    </xf>
    <xf numFmtId="0" fontId="7" fillId="16" borderId="1" applyAlignment="1" pivotButton="0" quotePrefix="0" xfId="0">
      <alignment horizontal="center" vertical="center" wrapText="1"/>
    </xf>
    <xf numFmtId="0" fontId="2" fillId="0" borderId="1" applyAlignment="1" pivotButton="0" quotePrefix="0" xfId="0">
      <alignment horizontal="left" vertical="top" wrapText="1"/>
    </xf>
    <xf numFmtId="0" fontId="7" fillId="12" borderId="1" applyAlignment="1" applyProtection="1" pivotButton="0" quotePrefix="0" xfId="0">
      <alignment horizontal="left" vertical="top" wrapText="1"/>
      <protection locked="0" hidden="0"/>
    </xf>
    <xf numFmtId="0" fontId="2" fillId="12" borderId="1" applyAlignment="1" applyProtection="1" pivotButton="0" quotePrefix="0" xfId="0">
      <alignment horizontal="left" vertical="top" wrapText="1"/>
      <protection locked="0" hidden="0"/>
    </xf>
    <xf numFmtId="0" fontId="9" fillId="0" borderId="0" applyAlignment="1" pivotButton="0" quotePrefix="0" xfId="0">
      <alignment horizontal="left" vertical="center" wrapText="1"/>
    </xf>
    <xf numFmtId="0" fontId="0" fillId="11" borderId="0" pivotButton="0" quotePrefix="0" xfId="0"/>
    <xf numFmtId="0" fontId="10" fillId="11" borderId="0" applyAlignment="1" pivotButton="0" quotePrefix="0" xfId="0">
      <alignment horizontal="center" vertical="center" wrapText="1"/>
    </xf>
    <xf numFmtId="164" fontId="11" fillId="12" borderId="1" applyAlignment="1" pivotButton="0" quotePrefix="0" xfId="0">
      <alignment horizontal="center" vertical="center" wrapText="1"/>
    </xf>
    <xf numFmtId="9" fontId="11" fillId="12" borderId="1" applyAlignment="1" pivotButton="0" quotePrefix="0" xfId="0">
      <alignment horizontal="center" vertical="center" wrapText="1"/>
    </xf>
    <xf numFmtId="0" fontId="7" fillId="11" borderId="0" applyAlignment="1" pivotButton="0" quotePrefix="0" xfId="0">
      <alignment horizontal="left" vertical="center" wrapTex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15"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17" borderId="1" applyAlignment="1" pivotButton="0" quotePrefix="0" xfId="0">
      <alignment horizontal="center" vertical="center" wrapText="1"/>
    </xf>
    <xf numFmtId="166" fontId="13" fillId="17" borderId="1" applyAlignment="1" pivotButton="0" quotePrefix="0" xfId="0">
      <alignment horizontal="center" vertical="center" wrapText="1"/>
    </xf>
    <xf numFmtId="49" fontId="13" fillId="17" borderId="1" applyAlignment="1" pivotButton="0" quotePrefix="0" xfId="0">
      <alignment horizontal="center" vertical="center" wrapText="1"/>
    </xf>
    <xf numFmtId="167" fontId="13" fillId="17" borderId="1" applyAlignment="1" pivotButton="0" quotePrefix="0" xfId="0">
      <alignment horizontal="center" vertical="center" wrapText="1"/>
    </xf>
    <xf numFmtId="3" fontId="13" fillId="17" borderId="1" applyAlignment="1" pivotButton="0" quotePrefix="0" xfId="0">
      <alignment horizontal="center" vertical="center" wrapText="1"/>
    </xf>
    <xf numFmtId="49" fontId="2" fillId="0" borderId="1" applyAlignment="1" applyProtection="1" pivotButton="0" quotePrefix="0" xfId="0">
      <alignment horizontal="center" vertical="center" wrapText="1"/>
      <protection locked="0" hidden="0"/>
    </xf>
    <xf numFmtId="167" fontId="2" fillId="6" borderId="1" applyAlignment="1" pivotButton="0" quotePrefix="0" xfId="0">
      <alignment horizontal="center" vertical="center" wrapText="1"/>
    </xf>
    <xf numFmtId="3" fontId="2" fillId="0" borderId="1" applyAlignment="1" applyProtection="1" pivotButton="0" quotePrefix="0" xfId="0">
      <alignment horizontal="center" vertical="center" wrapText="1"/>
      <protection locked="0" hidden="0"/>
    </xf>
    <xf numFmtId="0" fontId="7" fillId="0"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dxfs count="4">
    <dxf>
      <fill>
        <patternFill patternType="solid">
          <fgColor rgb="00E2EFDA"/>
          <bgColor rgb="00E2EFDA"/>
        </patternFill>
      </fill>
    </dxf>
    <dxf>
      <fill>
        <patternFill patternType="solid">
          <fgColor rgb="00FCE4D6"/>
          <bgColor rgb="00FCE4D6"/>
        </patternFill>
      </fill>
    </dxf>
    <dxf>
      <fill>
        <patternFill patternType="solid">
          <fgColor rgb="00FCE4E4"/>
          <bgColor rgb="00FCE4E4"/>
        </patternFill>
      </fill>
    </dxf>
    <dxf>
      <fill>
        <patternFill patternType="darkUp">
          <fgColor rgb="00808080"/>
          <bgColor rgb="0059595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社労士フォーム</author>
  </authors>
  <commentList>
    <comment ref="A7" authorId="0" shapeId="0">
      <text>
        <t>用途：各届出（資格喪失届・離職証明書・支給申請書 等）の被保険者氏名。</t>
      </text>
    </comment>
    <comment ref="B7" authorId="0" shapeId="0">
      <text>
        <t>用途：電子申請のフリガナ欄（全角カタカナ）。</t>
      </text>
    </comment>
    <comment ref="C7" authorId="0" shapeId="0">
      <text>
        <t>用途：被保険者の生年月日（各届出の本人確認）。</t>
      </text>
    </comment>
    <comment ref="D7" authorId="0" shapeId="0">
      <text>
        <t>用途：各届出のマイナンバー欄。</t>
      </text>
    </comment>
    <comment ref="E7" authorId="0" shapeId="0">
      <text>
        <t>用途：厚生年金の基礎年金番号欄。</t>
      </text>
    </comment>
    <comment ref="F7" authorId="0" shapeId="0">
      <text>
        <t>用途：雇用保険の被保険者番号欄。</t>
      </text>
    </comment>
    <comment ref="G7" authorId="0" shapeId="0">
      <text>
        <t>用途：本人住所（離職票の送付先・各届出の住所欄）。</t>
      </text>
    </comment>
    <comment ref="H7" authorId="0" shapeId="0">
      <text>
        <t>用途：本人住所の都道府県。</t>
      </text>
    </comment>
    <comment ref="I7" authorId="0" shapeId="0">
      <text>
        <t>用途：本人住所の市区町村以下。</t>
      </text>
    </comment>
    <comment ref="J7" authorId="0" shapeId="0">
      <text>
        <t>用途：本人住所の建物・部屋。</t>
      </text>
    </comment>
    <comment ref="K7" authorId="0" shapeId="0">
      <text>
        <t>用途：本人連絡先。確認の連絡用。</t>
      </text>
    </comment>
    <comment ref="L7" authorId="0" shapeId="0">
      <text>
        <t>用途：支給申請書の傷病名（医師の意見と整合）。</t>
      </text>
    </comment>
    <comment ref="M7" authorId="0" shapeId="0">
      <text>
        <t>用途：発病・負傷年月日。</t>
      </text>
    </comment>
    <comment ref="N7" authorId="0" shapeId="0">
      <text>
        <t>用途：初診日（療養の開始の確認）。</t>
      </text>
    </comment>
    <comment ref="O7" authorId="0" shapeId="0">
      <text>
        <t>用途：業務上・外／通勤の別（業務上・通勤なら労災＝傷病手当金の対象外）。</t>
      </text>
    </comment>
    <comment ref="P7" authorId="0" shapeId="0">
      <text>
        <t>用途：申請対象（労務不能）期間の開始。</t>
      </text>
    </comment>
    <comment ref="Q7" authorId="0" shapeId="0">
      <text>
        <t>用途：同 終了。</t>
      </text>
    </comment>
    <comment ref="R7" authorId="0" shapeId="0">
      <text>
        <t>用途：申請期間の暦日数。自動計算。</t>
      </text>
    </comment>
    <comment ref="S7" authorId="0" shapeId="0">
      <text>
        <t>用途：申請期間中の療養形態（入院・通院）。</t>
      </text>
    </comment>
    <comment ref="T7" authorId="0" shapeId="0">
      <text>
        <t>用途：待期完成（連続3日の休務）の有無。支給開始の前提（初回判定）。</t>
      </text>
    </comment>
    <comment ref="U7" authorId="0" shapeId="0">
      <text>
        <t>用途：第三者行為の有無（別途届出が必要）。</t>
      </text>
    </comment>
    <comment ref="V7" authorId="0" shapeId="0">
      <text>
        <t>用途：申請期間中の報酬支払の有無（支給調整）。</t>
      </text>
    </comment>
    <comment ref="W7" authorId="0" shapeId="0">
      <text>
        <t>用途：報酬支給額（支給調整の計算）。</t>
      </text>
    </comment>
    <comment ref="X7" authorId="0" shapeId="0">
      <text>
        <t>用途：障害・老齢年金の受給有無（支給調整に影響）。</t>
      </text>
    </comment>
    <comment ref="Y7" authorId="0" shapeId="0">
      <text>
        <t>用途：年金の年額（傷病手当金との調整計算）。</t>
      </text>
    </comment>
    <comment ref="Z7" authorId="0" shapeId="0">
      <text>
        <t>用途：在職中／退職後の継続給付の別（要件判定）。</t>
      </text>
    </comment>
    <comment ref="AA7" authorId="0" shapeId="0">
      <text>
        <t>用途：傷病手当金の振込先（本人名義）。</t>
      </text>
    </comment>
    <comment ref="AB7" authorId="0" shapeId="0">
      <text>
        <t>用途：連絡事項。自由記入。</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40"/>
  <sheetViews>
    <sheetView showGridLines="0" workbookViewId="0">
      <selection activeCell="A1" sqref="A1"/>
    </sheetView>
  </sheetViews>
  <sheetFormatPr baseColWidth="8" defaultRowHeight="15"/>
  <cols>
    <col width="3" customWidth="1" min="1" max="1"/>
    <col width="24" customWidth="1" min="2" max="2"/>
    <col width="95" customWidth="1" min="3" max="3"/>
  </cols>
  <sheetData>
    <row r="1">
      <c r="B1" s="1" t="inlineStr">
        <is>
          <t>傷病手当金 受領フォーム</t>
        </is>
      </c>
    </row>
    <row r="2">
      <c r="B2" s="2" t="inlineStr">
        <is>
          <t>はじめにお読みください（記入要領）</t>
        </is>
      </c>
    </row>
    <row r="3"/>
    <row r="4" ht="24" customHeight="1">
      <c r="B4" s="3" t="inlineStr">
        <is>
          <t>この書類について</t>
        </is>
      </c>
    </row>
    <row r="5" ht="20.5" customHeight="1">
      <c r="B5" s="4" t="inlineStr">
        <is>
          <t>事務所名</t>
        </is>
      </c>
      <c r="C5" s="5" t="inlineStr">
        <is>
          <t>みなの社会保険労務士事務所</t>
        </is>
      </c>
    </row>
    <row r="6" ht="20.5" customHeight="1">
      <c r="B6" s="4" t="inlineStr">
        <is>
          <t>お問い合わせ</t>
        </is>
      </c>
      <c r="C6" s="5" t="inlineStr">
        <is>
          <t>076-460-2562 / contact@minano-sr.com</t>
        </is>
      </c>
    </row>
    <row r="7" ht="20.5" customHeight="1">
      <c r="B7" s="4" t="inlineStr">
        <is>
          <t>バージョン</t>
        </is>
      </c>
      <c r="C7" s="5" t="inlineStr">
        <is>
          <t>1.0（更新日 2026-09-10）</t>
        </is>
      </c>
    </row>
    <row r="8"/>
    <row r="9" ht="24" customHeight="1">
      <c r="B9" s="3" t="inlineStr">
        <is>
          <t>目的</t>
        </is>
      </c>
    </row>
    <row r="10" ht="70" customHeight="1">
      <c r="C10" s="5" t="inlineStr">
        <is>
          <t>健康保険『傷病手当金』の支給申請に必要な情報を回収します。このフォーム1本で手続きに
着手できるよう、本人情報（氏名・生年月日・マイナンバー・各種番号・住所）もあわせてご記入ください。
医師の意見欄・事業主証明は別途、所定様式に記入が必要です。</t>
        </is>
      </c>
    </row>
    <row r="11"/>
    <row r="12" ht="24" customHeight="1">
      <c r="B12" s="3" t="inlineStr">
        <is>
          <t>入力の流れ</t>
        </is>
      </c>
    </row>
    <row r="13" ht="37" customHeight="1">
      <c r="C13" s="5" t="inlineStr">
        <is>
          <t>1. 『本人情報』に対象者の氏名・生年月日・番号類・住所を入力します（入社時と同じ内容）。本人しか分からない項目は、会社内で本人に確認のうえご記入ください。</t>
        </is>
      </c>
    </row>
    <row r="14" ht="20.5" customHeight="1">
      <c r="C14" s="5" t="inlineStr">
        <is>
          <t>2. 傷病名・労務不能期間・報酬支払の有無などを入力。</t>
        </is>
      </c>
    </row>
    <row r="15" ht="20.5" customHeight="1">
      <c r="C15" s="5" t="inlineStr">
        <is>
          <t>3. 申請期間中の出勤簿・賃金台帳を別途ご用意ください（事業主証明用）。</t>
        </is>
      </c>
    </row>
    <row r="16"/>
    <row r="17" ht="24" customHeight="1">
      <c r="B17" s="3" t="inlineStr">
        <is>
          <t>色の凡例</t>
        </is>
      </c>
    </row>
    <row r="18" ht="20.5" customHeight="1">
      <c r="B18" s="6" t="inlineStr">
        <is>
          <t>必須</t>
        </is>
      </c>
      <c r="C18" s="5" t="inlineStr">
        <is>
          <t>ヘッダーが薄い黄色。必ず入力してください。</t>
        </is>
      </c>
    </row>
    <row r="19" ht="20.5" customHeight="1">
      <c r="B19" s="7" t="inlineStr">
        <is>
          <t>任意</t>
        </is>
      </c>
      <c r="C19" s="5" t="inlineStr">
        <is>
          <t>ヘッダーが薄い灰色。該当する場合に入力。</t>
        </is>
      </c>
    </row>
    <row r="20" ht="20.5" customHeight="1">
      <c r="B20" s="8" t="inlineStr">
        <is>
          <t>自動</t>
        </is>
      </c>
      <c r="C20" s="5" t="inlineStr">
        <is>
          <t>灰色。自動計算・編集不可。</t>
        </is>
      </c>
    </row>
    <row r="21" ht="20.5" customHeight="1">
      <c r="B21" s="9" t="inlineStr">
        <is>
          <t>未入力警告</t>
        </is>
      </c>
      <c r="C21" s="5" t="inlineStr">
        <is>
          <t>必須の空欄が薄い赤で点灯。入力で消えます。</t>
        </is>
      </c>
    </row>
    <row r="22" ht="20.5" customHeight="1">
      <c r="B22" s="10" t="inlineStr">
        <is>
          <t>形式警告</t>
        </is>
      </c>
      <c r="C22" s="5" t="inlineStr">
        <is>
          <t>桁数・形式が想定と違うと薄い橙で点灯。</t>
        </is>
      </c>
    </row>
    <row r="23" ht="20.5" customHeight="1">
      <c r="B23" s="11" t="inlineStr">
        <is>
          <t>対象外</t>
        </is>
      </c>
      <c r="C23" s="5" t="inlineStr">
        <is>
          <t>暗い灰の斜線（ハッチ）。その条件では記入不要な欄。</t>
        </is>
      </c>
    </row>
    <row r="24" ht="20.5" customHeight="1">
      <c r="B24" s="12" t="inlineStr">
        <is>
          <t>問題なし</t>
        </is>
      </c>
      <c r="C24" s="5" t="inlineStr">
        <is>
          <t>薄い緑。入力・判定が正常なことを示します。</t>
        </is>
      </c>
    </row>
    <row r="25"/>
    <row r="26" ht="24" customHeight="1">
      <c r="B26" s="3" t="inlineStr">
        <is>
          <t>ご注意</t>
        </is>
      </c>
    </row>
    <row r="27" ht="37" customHeight="1">
      <c r="C27" s="5" t="inlineStr">
        <is>
          <t>業務上・通勤災害の傷病は傷病手当金ではなく『労災』の対象です。労災フォームをご利用ください。</t>
        </is>
      </c>
    </row>
    <row r="28" ht="20.5" customHeight="1">
      <c r="C28" s="5" t="inlineStr">
        <is>
          <t>支給申請には医師（療養担当者）の意見と事業主の証明が必要です。</t>
        </is>
      </c>
    </row>
    <row r="29" ht="37" customHeight="1">
      <c r="C29" s="5" t="inlineStr">
        <is>
          <t>時効の目安：傷病手当金は、労務不能であった日ごとにその翌日から2年で時効になります。お早めの申請を。</t>
        </is>
      </c>
    </row>
    <row r="30"/>
    <row r="31" ht="24" customHeight="1">
      <c r="B31" s="3" t="inlineStr">
        <is>
          <t>本人情報の集め方</t>
        </is>
      </c>
    </row>
    <row r="32" ht="70" customHeight="1">
      <c r="B32" s="4" t="inlineStr">
        <is>
          <t>基本</t>
        </is>
      </c>
      <c r="C32" s="5" t="inlineStr">
        <is>
          <t>本人情報は入社時と同じ内容をご記入ください。本人しか分からない項目（マイナンバー・基礎年金番号・雇用保険被保険者番号など）は、会社内で本人に確認のうえご記入ください。
当事務所の書式「入社時 本人情報記入シート」（https://minano-sr.com/shoshiki/D-52.html）を印刷して本人に書いてもらう方法が簡単です。</t>
        </is>
      </c>
    </row>
    <row r="33" ht="20.5" customHeight="1">
      <c r="B33" s="4" t="inlineStr">
        <is>
          <t>2名以上のとき</t>
        </is>
      </c>
      <c r="C33" s="5" t="inlineStr">
        <is>
          <t>1行に1名ずつご記入ください（行を追加して複数名をまとめて送れます）。</t>
        </is>
      </c>
    </row>
    <row r="34"/>
    <row r="35" ht="24" customHeight="1">
      <c r="B35" s="3" t="inlineStr">
        <is>
          <t>マイナンバー等 機微情報の取扱い</t>
        </is>
      </c>
    </row>
    <row r="36" ht="53.5" customHeight="1">
      <c r="B36" s="4" t="inlineStr">
        <is>
          <t>入力時</t>
        </is>
      </c>
      <c r="C36" s="5" t="inlineStr">
        <is>
          <t>マイナンバー（12桁）は半角数字・ハイフン無しで入力します。会社所定の安全な経路で別提出する場合は、番号を入力せず『別経路提出』を選んでください。未回収の場合は『後日提出』を選択します。</t>
        </is>
      </c>
    </row>
    <row r="37" ht="37" customHeight="1">
      <c r="B37" s="4" t="inlineStr">
        <is>
          <t>基礎年金番号</t>
        </is>
      </c>
      <c r="C37" s="5" t="inlineStr">
        <is>
          <t>10桁（年金手帳・基礎年金番号通知書に記載）。不明なときはドロップダウンから『後日提出』を選べば未入力扱いになりません（分かり次第ご連絡ください）。</t>
        </is>
      </c>
    </row>
    <row r="38" ht="37" customHeight="1">
      <c r="B38" s="4" t="inlineStr">
        <is>
          <t>雇用保険被保険者番号</t>
        </is>
      </c>
      <c r="C38" s="5" t="inlineStr">
        <is>
          <t>11桁（雇用保険被保険者証・離職票に記載）。前職が無い方は『なし』、番号が不明なときは『後日提出』を選択してください。</t>
        </is>
      </c>
    </row>
    <row r="39" ht="53.5" customHeight="1">
      <c r="B39" s="4" t="inlineStr">
        <is>
          <t>返送方法</t>
        </is>
      </c>
      <c r="C39" s="5" t="inlineStr">
        <is>
          <t>本ファイルはマイナンバー等の特定個人情報を含みます。メール添付で平文送付せず、①パスワード付きZIP（パスワードは別経路で連絡）、または ②当事務所が案内する安全な受け渡し方法 でご返送ください。</t>
        </is>
      </c>
    </row>
    <row r="40" ht="37" customHeight="1">
      <c r="B40" s="4" t="inlineStr">
        <is>
          <t>社内保管</t>
        </is>
      </c>
      <c r="C40" s="5" t="inlineStr">
        <is>
          <t>記入途中のファイルは関係者以外がアクセスできない場所に保管し、提出後は社内ルールに従って適切に削除・保管してください。</t>
        </is>
      </c>
    </row>
  </sheetData>
  <mergeCells count="8">
    <mergeCell ref="B26:C26"/>
    <mergeCell ref="B31:C31"/>
    <mergeCell ref="B17:C17"/>
    <mergeCell ref="B9:C9"/>
    <mergeCell ref="B1:C1"/>
    <mergeCell ref="B35:C35"/>
    <mergeCell ref="B4:C4"/>
    <mergeCell ref="B12:C12"/>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32"/>
  <sheetViews>
    <sheetView showGridLines="0" workbookViewId="0">
      <pane ySplit="1" topLeftCell="A2" activePane="bottomLeft" state="frozen"/>
      <selection pane="bottomLeft" activeCell="A1" sqref="A1"/>
    </sheetView>
  </sheetViews>
  <sheetFormatPr baseColWidth="8" defaultRowHeight="15"/>
  <cols>
    <col width="3" customWidth="1" min="1" max="1"/>
    <col width="30" customWidth="1" min="2" max="2"/>
    <col width="26" customWidth="1" min="3" max="3"/>
    <col width="60" customWidth="1" min="4" max="4"/>
  </cols>
  <sheetData>
    <row r="1">
      <c r="B1" s="13" t="inlineStr">
        <is>
          <t>傷病手当金 受領フォーム　提出チェック・添付・返送</t>
        </is>
      </c>
    </row>
    <row r="2" ht="37" customHeight="1">
      <c r="B2" s="14" t="inlineStr">
        <is>
          <t>このシートは貴社（ご担当者さま）が、入力 → 提出前の確認 → 当事務所への返送まで迷わず進めるための案内です。本体シートをご記入のうえ、最後にここをご確認ください。</t>
        </is>
      </c>
    </row>
    <row r="3"/>
    <row r="4" ht="24" customHeight="1">
      <c r="B4" s="3" t="inlineStr">
        <is>
          <t>① 提出前チェック</t>
        </is>
      </c>
    </row>
    <row r="5" ht="26" customHeight="1">
      <c r="B5" s="15" t="inlineStr">
        <is>
          <t>貴社名</t>
        </is>
      </c>
      <c r="C5" s="16" t="n"/>
      <c r="D5" s="17" t="inlineStr">
        <is>
          <t>貴社名をご記入ください。</t>
        </is>
      </c>
    </row>
    <row r="6" ht="26" customHeight="1">
      <c r="B6" s="15" t="inlineStr">
        <is>
          <t>ご入力担当者名</t>
        </is>
      </c>
      <c r="C6" s="16" t="n"/>
      <c r="D6" s="17" t="inlineStr">
        <is>
          <t>このフォームをご記入された方のお名前。</t>
        </is>
      </c>
    </row>
    <row r="7" ht="26" customHeight="1">
      <c r="B7" s="15" t="inlineStr">
        <is>
          <t>ご担当者 連絡先</t>
        </is>
      </c>
      <c r="C7" s="16" t="n"/>
      <c r="D7" s="17" t="inlineStr">
        <is>
          <t>電話番号またはメールアドレス。確認時の連絡用。</t>
        </is>
      </c>
    </row>
    <row r="8" ht="26" customHeight="1">
      <c r="B8" s="15" t="inlineStr">
        <is>
          <t>記入日</t>
        </is>
      </c>
      <c r="C8" s="18" t="n"/>
      <c r="D8" s="17" t="inlineStr">
        <is>
          <t>ご記入（最終確認）日。</t>
        </is>
      </c>
    </row>
    <row r="9" ht="26" customHeight="1">
      <c r="B9" s="19" t="inlineStr">
        <is>
          <t>対象者数（自動）</t>
        </is>
      </c>
      <c r="C9" s="20">
        <f>'傷病手当金 情報'!A4</f>
        <v/>
      </c>
      <c r="D9" s="17" t="inlineStr">
        <is>
          <t>本体シートに入力された件数を自動表示します。</t>
        </is>
      </c>
    </row>
    <row r="10" ht="37" customHeight="1">
      <c r="B10" s="19" t="inlineStr">
        <is>
          <t>必須の未入力 残（自動）</t>
        </is>
      </c>
      <c r="C10" s="20">
        <f>'傷病手当金 情報'!E4</f>
        <v/>
      </c>
      <c r="D10" s="17" t="inlineStr">
        <is>
          <t>未入力の必須項目の残数。0件になるまでご記入ください（本体の薄赤・行ステータス参照）。</t>
        </is>
      </c>
    </row>
    <row r="11" ht="26" customHeight="1">
      <c r="B11" s="19" t="inlineStr">
        <is>
          <t>完了率（自動）</t>
        </is>
      </c>
      <c r="C11" s="21">
        <f>'傷病手当金 情報'!G4</f>
        <v/>
      </c>
      <c r="D11" s="17" t="inlineStr">
        <is>
          <t>必須項目の充足率。</t>
        </is>
      </c>
    </row>
    <row r="12" ht="37" customHeight="1">
      <c r="B12" s="19" t="inlineStr">
        <is>
          <t>提出可否（自動）</t>
        </is>
      </c>
      <c r="C12" s="22">
        <f>IF('傷病手当金 情報'!A4=0,"未入力（対象者なし）",IF('傷病手当金 情報'!E4=0,"提出可（必須の未入力なし）","未入力あり：本体シートの薄赤セル・行ステータスをご確認ください"))</f>
        <v/>
      </c>
      <c r="D12" s="17" t="inlineStr">
        <is>
          <t>必須の未入力が無ければ『提出可』。残っていれば本体をご確認ください。</t>
        </is>
      </c>
    </row>
    <row r="13" ht="26" customHeight="1">
      <c r="B13" s="15" t="inlineStr">
        <is>
          <t>事務所への連絡事項</t>
        </is>
      </c>
      <c r="C13" s="16" t="n"/>
      <c r="D13" s="17" t="inlineStr">
        <is>
          <t>不明点・特記事項があればご記入ください（任意）。</t>
        </is>
      </c>
    </row>
    <row r="14"/>
    <row r="15" ht="24" customHeight="1">
      <c r="B15" s="3" t="inlineStr">
        <is>
          <t>② 添付資料チェック（この手続きで必要なもの）</t>
        </is>
      </c>
    </row>
    <row r="16" ht="20.5" customHeight="1">
      <c r="B16" s="23" t="inlineStr">
        <is>
          <t>「状態」を選び、未入手は『後日提出』『事務所で確認』等の状態を残してください（空欄のままにしない）。</t>
        </is>
      </c>
    </row>
    <row r="17" ht="22" customHeight="1">
      <c r="B17" s="24" t="inlineStr">
        <is>
          <t>資料・項目</t>
        </is>
      </c>
      <c r="C17" s="24" t="inlineStr">
        <is>
          <t>状態</t>
        </is>
      </c>
      <c r="D17" s="24" t="inlineStr">
        <is>
          <t>補足（何のために使うか）</t>
        </is>
      </c>
    </row>
    <row r="18" ht="37" customHeight="1">
      <c r="B18" s="25" t="inlineStr">
        <is>
          <t>傷病手当金支給申請書（療養担当者記入欄）</t>
        </is>
      </c>
      <c r="C18" s="16" t="n"/>
      <c r="D18" s="17" t="inlineStr">
        <is>
          <t>医師（療養担当者）の意見・証明が必要。所定様式に記入を依頼してください。</t>
        </is>
      </c>
    </row>
    <row r="19" ht="24" customHeight="1">
      <c r="B19" s="25" t="inlineStr">
        <is>
          <t>出勤簿（申請対象期間を含む）</t>
        </is>
      </c>
      <c r="C19" s="16" t="n"/>
      <c r="D19" s="17" t="inlineStr">
        <is>
          <t>事業主証明欄（労務不能期間・出勤状況）の作成に使用。</t>
        </is>
      </c>
    </row>
    <row r="20" ht="37" customHeight="1">
      <c r="B20" s="25" t="inlineStr">
        <is>
          <t>賃金台帳（申請対象期間を含む）</t>
        </is>
      </c>
      <c r="C20" s="16" t="n"/>
      <c r="D20" s="17" t="inlineStr">
        <is>
          <t>標準報酬・報酬支払の有無の確認に使用。</t>
        </is>
      </c>
    </row>
    <row r="21" ht="37" customHeight="1">
      <c r="B21" s="25" t="inlineStr">
        <is>
          <t>申請期間中の報酬支払の有無・金額</t>
        </is>
      </c>
      <c r="C21" s="16" t="n"/>
      <c r="D21" s="17" t="inlineStr">
        <is>
          <t>支払があると傷病手当金が支給調整されます。</t>
        </is>
      </c>
    </row>
    <row r="22" ht="37" customHeight="1">
      <c r="B22" s="25" t="inlineStr">
        <is>
          <t>年金の振込通知書（受給がある場合）</t>
        </is>
      </c>
      <c r="C22" s="16" t="n"/>
      <c r="D22" s="17" t="inlineStr">
        <is>
          <t>障害・老齢年金の受給があると支給調整の対象になります。</t>
        </is>
      </c>
    </row>
    <row r="23"/>
    <row r="24" ht="24" customHeight="1">
      <c r="B24" s="3" t="inlineStr">
        <is>
          <t>③ 当事務所への返送について</t>
        </is>
      </c>
    </row>
    <row r="25" ht="53.5" customHeight="1">
      <c r="B25" s="23" t="inlineStr">
        <is>
          <t>【ファイル名のつけ方】　YYYYMMDD_貴社名_対象者名_手続名_返送_v1.0.xlsx
　例）20260710_ABC株式会社_山田太郎_傷病手当金 受領フォーム_返送_v1.0.xlsx
　複数名分をまとめる場合：20260710_ABC株式会社_複数名_各種手続_返送_v1.0.xlsx</t>
        </is>
      </c>
    </row>
    <row r="26" ht="70" customHeight="1">
      <c r="B26" s="14" t="inlineStr">
        <is>
          <t>【ご返送方法】　マイナンバー等の重要情報を含みます。メール平文への添付は避け、当事務所の案件ページ（受任メールのリンク）からお送りください。メールに添付する場合はパスワード付きZIP（パスワードは別経路でご連絡）にしてください。マイナンバーを別経路で回収する運用の場合は、このフォームには入力せず、会社所定の安全な経路で提出してください。</t>
        </is>
      </c>
    </row>
    <row r="27" ht="20.5" customHeight="1">
      <c r="B27" s="23" t="inlineStr">
        <is>
          <t>【送付メール文（コピペ用）】　下の枠を選択してコピーし、件名・本文にお使いください。</t>
        </is>
      </c>
    </row>
    <row r="28" ht="22" customHeight="1">
      <c r="B28" s="26" t="inlineStr">
        <is>
          <t>件名：【傷病手当金手続】傷病手当金連絡フォーム送付の件（〇〇株式会社）</t>
        </is>
      </c>
    </row>
    <row r="29" ht="218.5" customHeight="1">
      <c r="B29" s="27" t="inlineStr">
        <is>
          <t>みなの社会保険労務士事務所
ご担当者さま
いつもお世話になっております。
傷病手当金連絡に関する入力フォームを送付いたします。
　対象者数：　　名
　添付資料：
　未提出・後日提出の資料：
　ご連絡事項：
何卒よろしくお願いいたします。
（貴社名・ご担当者名）</t>
        </is>
      </c>
    </row>
    <row r="30"/>
    <row r="31" ht="24" customHeight="1">
      <c r="B31" s="3" t="inlineStr">
        <is>
          <t>④ 入力の補足（情報が揃わないとき）</t>
        </is>
      </c>
    </row>
    <row r="32" ht="53.5" customHeight="1">
      <c r="B32" s="23" t="inlineStr">
        <is>
          <t>・『不明』『後日提出』を選べる欄は、空欄のままにせず状態を残してください。後で当事務所が確認・督促できます。
・該当しない欄は『該当なし』を選ぶか空欄で構いません（条件次第で対象外＝斜線になる欄もあります）。
・色の意味：薄黄＝必須／薄灰＝任意／薄赤＝必須の未入力／薄橙＝形式の確認／斜線＝記入不要。</t>
        </is>
      </c>
    </row>
  </sheetData>
  <mergeCells count="13">
    <mergeCell ref="B28:D28"/>
    <mergeCell ref="B29:D29"/>
    <mergeCell ref="B31:D31"/>
    <mergeCell ref="B1:D1"/>
    <mergeCell ref="B32:D32"/>
    <mergeCell ref="B4:D4"/>
    <mergeCell ref="B26:D26"/>
    <mergeCell ref="B2:D2"/>
    <mergeCell ref="B27:D27"/>
    <mergeCell ref="B15:D15"/>
    <mergeCell ref="B25:D25"/>
    <mergeCell ref="B24:D24"/>
    <mergeCell ref="B16:D16"/>
  </mergeCells>
  <conditionalFormatting sqref="C12">
    <cfRule type="expression" priority="1" dxfId="0" stopIfTrue="1">
      <formula>ISNUMBER(SEARCH("提出可",C12))</formula>
    </cfRule>
    <cfRule type="expression" priority="2" dxfId="1" stopIfTrue="1">
      <formula>AND(ISNUMBER(SEARCH("未入力",C12)),ISERROR(SEARCH("提出可",C12)))</formula>
    </cfRule>
  </conditionalFormatting>
  <conditionalFormatting sqref="C10">
    <cfRule type="expression" priority="3" dxfId="1" stopIfTrue="1">
      <formula>C10&gt;0</formula>
    </cfRule>
  </conditionalFormatting>
  <conditionalFormatting sqref="C18">
    <cfRule type="expression" priority="4" dxfId="2" stopIfTrue="1">
      <formula>C18=""</formula>
    </cfRule>
    <cfRule type="expression" priority="5" dxfId="1" stopIfTrue="1">
      <formula>OR(C18="後日提出",C18="事務所で確認",C18="不明")</formula>
    </cfRule>
  </conditionalFormatting>
  <conditionalFormatting sqref="C19">
    <cfRule type="expression" priority="6" dxfId="2" stopIfTrue="1">
      <formula>C19=""</formula>
    </cfRule>
    <cfRule type="expression" priority="7" dxfId="1" stopIfTrue="1">
      <formula>OR(C19="後日提出",C19="事務所で確認",C19="不明")</formula>
    </cfRule>
  </conditionalFormatting>
  <conditionalFormatting sqref="C20">
    <cfRule type="expression" priority="8" dxfId="2" stopIfTrue="1">
      <formula>C20=""</formula>
    </cfRule>
    <cfRule type="expression" priority="9" dxfId="1" stopIfTrue="1">
      <formula>OR(C20="後日提出",C20="事務所で確認",C20="不明")</formula>
    </cfRule>
  </conditionalFormatting>
  <conditionalFormatting sqref="C21">
    <cfRule type="expression" priority="10" dxfId="2" stopIfTrue="1">
      <formula>C21=""</formula>
    </cfRule>
    <cfRule type="expression" priority="11" dxfId="1" stopIfTrue="1">
      <formula>OR(C21="後日提出",C21="事務所で確認",C21="不明")</formula>
    </cfRule>
  </conditionalFormatting>
  <conditionalFormatting sqref="C22">
    <cfRule type="expression" priority="12" dxfId="2" stopIfTrue="1">
      <formula>C22=""</formula>
    </cfRule>
    <cfRule type="expression" priority="13" dxfId="1" stopIfTrue="1">
      <formula>OR(C22="後日提出",C22="事務所で確認",C22="不明")</formula>
    </cfRule>
  </conditionalFormatting>
  <dataValidations count="6">
    <dataValidation sqref="C8" showDropDown="0" showInputMessage="1" showErrorMessage="1" allowBlank="1" promptTitle="入力のヒント" prompt="西暦 YYYY/MM/DD。" type="whole" errorStyle="warning" operator="between">
      <formula1>1</formula1>
      <formula2>99999999</formula2>
    </dataValidation>
    <dataValidation sqref="C18" showDropDown="0" showInputMessage="1" showErrorMessage="1" allowBlank="1" promptTitle="入力のヒント" prompt="添付済／不明／後日提出／該当なし／事務所で確認 から選択。" type="list" errorStyle="stop">
      <formula1>"添付済,不明,後日提出,該当なし,事務所で確認"</formula1>
    </dataValidation>
    <dataValidation sqref="C19" showDropDown="0" showInputMessage="1" showErrorMessage="1" allowBlank="1" promptTitle="入力のヒント" prompt="添付済／不明／後日提出／該当なし／事務所で確認 から選択。" type="list" errorStyle="stop">
      <formula1>"添付済,不明,後日提出,該当なし,事務所で確認"</formula1>
    </dataValidation>
    <dataValidation sqref="C20" showDropDown="0" showInputMessage="1" showErrorMessage="1" allowBlank="1" promptTitle="入力のヒント" prompt="添付済／不明／後日提出／該当なし／事務所で確認 から選択。" type="list" errorStyle="stop">
      <formula1>"添付済,不明,後日提出,該当なし,事務所で確認"</formula1>
    </dataValidation>
    <dataValidation sqref="C21" showDropDown="0" showInputMessage="1" showErrorMessage="1" allowBlank="1" promptTitle="入力のヒント" prompt="添付済／不明／後日提出／該当なし／事務所で確認 から選択。" type="list" errorStyle="stop">
      <formula1>"添付済,不明,後日提出,該当なし,事務所で確認"</formula1>
    </dataValidation>
    <dataValidation sqref="C22" showDropDown="0" showInputMessage="1" showErrorMessage="1" allowBlank="1" promptTitle="入力のヒント" prompt="添付済／不明／後日提出／該当なし／事務所で確認 から選択。" type="list" errorStyle="stop">
      <formula1>"添付済,不明,後日提出,該当なし,事務所で確認"</formula1>
    </dataValidation>
  </dataValidation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AD58"/>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5" customWidth="1" min="3" max="3"/>
    <col width="17" customWidth="1" min="4" max="4"/>
    <col width="16" customWidth="1" min="5" max="5"/>
    <col width="20" customWidth="1" min="6" max="6"/>
    <col width="13" customWidth="1" min="7" max="7"/>
    <col width="12" customWidth="1" min="8" max="8"/>
    <col width="24" customWidth="1" min="9" max="9"/>
    <col width="20" customWidth="1" min="10" max="10"/>
    <col width="16" customWidth="1" min="11" max="11"/>
    <col width="24" customWidth="1" min="12" max="12"/>
    <col width="18" customWidth="1" min="13" max="13"/>
    <col width="16" customWidth="1" min="14" max="14"/>
    <col width="22" customWidth="1" min="15" max="15"/>
    <col width="18" customWidth="1" min="16" max="16"/>
    <col width="18" customWidth="1" min="17" max="17"/>
    <col width="17" customWidth="1" min="18" max="18"/>
    <col width="16" customWidth="1" min="19" max="19"/>
    <col width="20" customWidth="1" min="20" max="20"/>
    <col width="14" customWidth="1" min="21" max="21"/>
    <col width="17" customWidth="1" min="22" max="22"/>
    <col width="17" customWidth="1" min="23" max="23"/>
    <col width="18" customWidth="1" min="24" max="24"/>
    <col width="18" customWidth="1" min="25" max="25"/>
    <col width="20" customWidth="1" min="26" max="26"/>
    <col width="28" customWidth="1" min="27" max="27"/>
    <col width="32" customWidth="1" min="28" max="28"/>
    <col width="13" customWidth="1" min="29" max="29"/>
    <col hidden="1" width="13" customWidth="1" min="30" max="30"/>
  </cols>
  <sheetData>
    <row r="1" ht="26" customHeight="1">
      <c r="A1" s="13" t="inlineStr">
        <is>
          <t>傷病手当金 情報</t>
        </is>
      </c>
      <c r="O1" s="28" t="inlineStr">
        <is>
          <t>※業務上・通勤災害は労災の対象（傷病手当金ではありません）。</t>
        </is>
      </c>
    </row>
    <row r="2">
      <c r="A2" s="29" t="n"/>
      <c r="B2" s="29" t="n"/>
      <c r="C2" s="29" t="n"/>
      <c r="D2" s="29" t="n"/>
      <c r="E2" s="29" t="n"/>
      <c r="F2" s="29" t="n"/>
      <c r="G2" s="29" t="n"/>
      <c r="H2" s="29" t="n"/>
      <c r="I2" s="29" t="n"/>
      <c r="J2" s="29" t="n"/>
      <c r="K2" s="29" t="n"/>
      <c r="L2" s="29" t="n"/>
      <c r="M2" s="29" t="n"/>
      <c r="N2" s="29" t="n"/>
    </row>
    <row r="3" ht="20.5" customHeight="1">
      <c r="A3" s="30" t="inlineStr">
        <is>
          <t>入力対象 件数</t>
        </is>
      </c>
      <c r="C3" s="30" t="inlineStr">
        <is>
          <t>必須充足 件数</t>
        </is>
      </c>
      <c r="E3" s="30" t="inlineStr">
        <is>
          <t>必須未入力 残</t>
        </is>
      </c>
      <c r="G3" s="30" t="inlineStr">
        <is>
          <t>完了率</t>
        </is>
      </c>
      <c r="I3" s="29" t="n"/>
      <c r="J3" s="29" t="n"/>
      <c r="K3" s="29" t="n"/>
      <c r="L3" s="29" t="n"/>
      <c r="M3" s="29" t="n"/>
      <c r="N3" s="29" t="n"/>
    </row>
    <row r="4">
      <c r="A4" s="31">
        <f>COUNTA(A9:A58)</f>
        <v/>
      </c>
      <c r="C4" s="31">
        <f>COUNTIF(AD9:AD58,0)</f>
        <v/>
      </c>
      <c r="E4" s="31">
        <f>SUM(AD9:AD58)</f>
        <v/>
      </c>
      <c r="G4" s="32">
        <f>IF(A4=0,0,C4/A4)</f>
        <v/>
      </c>
      <c r="I4" s="29" t="n"/>
      <c r="J4" s="29" t="n"/>
      <c r="K4" s="29" t="n"/>
      <c r="L4" s="29" t="n"/>
      <c r="M4" s="29" t="n"/>
      <c r="N4" s="29" t="n"/>
    </row>
    <row r="5" ht="20" customHeight="1">
      <c r="A5" s="33">
        <f>IF(A4=0,"（このシートにはまだ入力がありません）",IF(E4=0,"✓ 必須の未入力はありません","⚠ 必須の未入力が "&amp;E4&amp;" 件あります：本体の赤いセル・右端の行ステータスをご確認ください"))</f>
        <v/>
      </c>
      <c r="M5" s="29" t="n"/>
      <c r="N5" s="29" t="n"/>
    </row>
    <row r="6" ht="22" customHeight="1">
      <c r="A6" s="34" t="inlineStr">
        <is>
          <t>本人情報</t>
        </is>
      </c>
      <c r="L6" s="35" t="inlineStr">
        <is>
          <t>傷病</t>
        </is>
      </c>
      <c r="P6" s="36" t="inlineStr">
        <is>
          <t>労務不能期間</t>
        </is>
      </c>
      <c r="U6" s="37" t="inlineStr">
        <is>
          <t>事情</t>
        </is>
      </c>
      <c r="Z6" s="38" t="inlineStr">
        <is>
          <t>支給</t>
        </is>
      </c>
      <c r="AB6" s="39" t="inlineStr">
        <is>
          <t>その他</t>
        </is>
      </c>
    </row>
    <row r="7" ht="60" customHeight="1">
      <c r="A7" s="6" t="inlineStr">
        <is>
          <t>氏名（漢字）
【必】</t>
        </is>
      </c>
      <c r="B7" s="6" t="inlineStr">
        <is>
          <t>氏名（フリガナ）
【必】</t>
        </is>
      </c>
      <c r="C7" s="6" t="inlineStr">
        <is>
          <t>生年月日
【必】</t>
        </is>
      </c>
      <c r="D7" s="6" t="inlineStr">
        <is>
          <t>マイナンバー(12桁)
【必】</t>
        </is>
      </c>
      <c r="E7" s="6" t="inlineStr">
        <is>
          <t>基礎年金番号(10桁)
【必】</t>
        </is>
      </c>
      <c r="F7" s="6" t="inlineStr">
        <is>
          <t>雇用保険被保険者番号(11桁)
【必】</t>
        </is>
      </c>
      <c r="G7" s="6" t="inlineStr">
        <is>
          <t>郵便番号
【必】</t>
        </is>
      </c>
      <c r="H7" s="6" t="inlineStr">
        <is>
          <t>都道府県
【必】</t>
        </is>
      </c>
      <c r="I7" s="6" t="inlineStr">
        <is>
          <t>市区町村以下
【必】</t>
        </is>
      </c>
      <c r="J7" s="7" t="inlineStr">
        <is>
          <t>建物名・部屋番号
【任】</t>
        </is>
      </c>
      <c r="K7" s="7" t="inlineStr">
        <is>
          <t>電話番号
【任】</t>
        </is>
      </c>
      <c r="L7" s="6" t="inlineStr">
        <is>
          <t>傷病名
【必】</t>
        </is>
      </c>
      <c r="M7" s="6" t="inlineStr">
        <is>
          <t>発病・負傷年月日
【必】</t>
        </is>
      </c>
      <c r="N7" s="6" t="inlineStr">
        <is>
          <t>初診日
【必】</t>
        </is>
      </c>
      <c r="O7" s="6" t="inlineStr">
        <is>
          <t>業務上・外／通勤の別
【必】</t>
        </is>
      </c>
      <c r="P7" s="6" t="inlineStr">
        <is>
          <t>申請対象期間 開始
【必】</t>
        </is>
      </c>
      <c r="Q7" s="6" t="inlineStr">
        <is>
          <t>申請対象期間 終了
【必】</t>
        </is>
      </c>
      <c r="R7" s="8" t="inlineStr">
        <is>
          <t>申請期間（暦日数・自動）
【自動】</t>
        </is>
      </c>
      <c r="S7" s="6" t="inlineStr">
        <is>
          <t>入院・通院
【必】</t>
        </is>
      </c>
      <c r="T7" s="7" t="inlineStr">
        <is>
          <t>待期完成（連続3日）
【任】</t>
        </is>
      </c>
      <c r="U7" s="6" t="inlineStr">
        <is>
          <t>第三者行為
【必】</t>
        </is>
      </c>
      <c r="V7" s="6" t="inlineStr">
        <is>
          <t>申請期間中の報酬
【必】</t>
        </is>
      </c>
      <c r="W7" s="7" t="inlineStr">
        <is>
          <t>報酬支給額（円）
【任】</t>
        </is>
      </c>
      <c r="X7" s="6" t="inlineStr">
        <is>
          <t>障害・老齢年金の受給
【必】</t>
        </is>
      </c>
      <c r="Y7" s="7" t="inlineStr">
        <is>
          <t>年金額（年額・円）
【任】</t>
        </is>
      </c>
      <c r="Z7" s="6" t="inlineStr">
        <is>
          <t>在職中／退職後の別
【必】</t>
        </is>
      </c>
      <c r="AA7" s="7" t="inlineStr">
        <is>
          <t>振込先（金融機関・口座）
【任】</t>
        </is>
      </c>
      <c r="AB7" s="7" t="inlineStr">
        <is>
          <t>備考（連絡事項）
【任】</t>
        </is>
      </c>
      <c r="AC7" s="24" t="inlineStr">
        <is>
          <t>行ステータス
（CSV可否）</t>
        </is>
      </c>
    </row>
    <row r="8" ht="37" customHeight="1">
      <c r="A8" s="40" t="inlineStr">
        <is>
          <t>例</t>
        </is>
      </c>
      <c r="B8" s="41" t="inlineStr">
        <is>
          <t>ヤマダ タロウ</t>
        </is>
      </c>
      <c r="C8" s="42" t="n">
        <v>32964</v>
      </c>
      <c r="D8" s="43" t="inlineStr">
        <is>
          <t>123456789012</t>
        </is>
      </c>
      <c r="E8" s="43" t="inlineStr">
        <is>
          <t>後日提出</t>
        </is>
      </c>
      <c r="F8" s="43" t="inlineStr">
        <is>
          <t>なし</t>
        </is>
      </c>
      <c r="G8" s="43" t="inlineStr">
        <is>
          <t>930-0001</t>
        </is>
      </c>
      <c r="H8" s="41" t="inlineStr">
        <is>
          <t>富山県</t>
        </is>
      </c>
      <c r="I8" s="41" t="inlineStr">
        <is>
          <t>富山市〇〇1-2-3</t>
        </is>
      </c>
      <c r="J8" s="41" t="inlineStr">
        <is>
          <t>〇〇マンション101</t>
        </is>
      </c>
      <c r="K8" s="41" t="inlineStr">
        <is>
          <t>076-000-0000</t>
        </is>
      </c>
      <c r="L8" s="41" t="inlineStr">
        <is>
          <t>胃潰瘍</t>
        </is>
      </c>
      <c r="M8" s="42" t="n">
        <v>46152</v>
      </c>
      <c r="N8" s="42" t="n">
        <v>46153</v>
      </c>
      <c r="O8" s="41" t="inlineStr">
        <is>
          <t>業務外（私傷病）</t>
        </is>
      </c>
      <c r="P8" s="42" t="n">
        <v>46162</v>
      </c>
      <c r="Q8" s="42" t="n">
        <v>46192</v>
      </c>
      <c r="R8" s="44">
        <f>IF(OR($P8="",$Q8=""),"",IF($Q8&lt;$P8,"",$Q8-$P8+1))</f>
        <v/>
      </c>
      <c r="S8" s="41" t="inlineStr">
        <is>
          <t>通院</t>
        </is>
      </c>
      <c r="T8" s="41" t="inlineStr">
        <is>
          <t>完成（連続する3日の休務あり）</t>
        </is>
      </c>
      <c r="U8" s="41" t="inlineStr">
        <is>
          <t>なし</t>
        </is>
      </c>
      <c r="V8" s="41" t="inlineStr">
        <is>
          <t>支給なし</t>
        </is>
      </c>
      <c r="W8" s="45" t="n"/>
      <c r="X8" s="41" t="inlineStr">
        <is>
          <t>なし</t>
        </is>
      </c>
      <c r="Y8" s="45" t="n"/>
      <c r="Z8" s="41" t="inlineStr">
        <is>
          <t>在職中の申請</t>
        </is>
      </c>
      <c r="AA8" s="41" t="inlineStr">
        <is>
          <t>〇〇銀行 本店 普通 1234567</t>
        </is>
      </c>
      <c r="AB8" s="41" t="inlineStr">
        <is>
          <t>← この行は記入例です（編集不可）</t>
        </is>
      </c>
    </row>
    <row r="9">
      <c r="A9" s="16" t="n"/>
      <c r="B9" s="16" t="n"/>
      <c r="C9" s="18" t="n"/>
      <c r="D9" s="46" t="n"/>
      <c r="E9" s="46" t="n"/>
      <c r="F9" s="46" t="n"/>
      <c r="G9" s="46" t="n"/>
      <c r="H9" s="16" t="n"/>
      <c r="I9" s="16" t="n"/>
      <c r="J9" s="16" t="n"/>
      <c r="K9" s="16" t="n"/>
      <c r="L9" s="16" t="n"/>
      <c r="M9" s="18" t="n"/>
      <c r="N9" s="18" t="n"/>
      <c r="O9" s="16" t="n"/>
      <c r="P9" s="18" t="n"/>
      <c r="Q9" s="18" t="n"/>
      <c r="R9" s="47">
        <f>IF(OR($P9="",$Q9=""),"",IF($Q9&lt;$P9,"",$Q9-$P9+1))</f>
        <v/>
      </c>
      <c r="S9" s="16" t="n"/>
      <c r="T9" s="16" t="n"/>
      <c r="U9" s="16" t="n"/>
      <c r="V9" s="16" t="n"/>
      <c r="W9" s="48" t="n"/>
      <c r="X9" s="16" t="n"/>
      <c r="Y9" s="48" t="n"/>
      <c r="Z9" s="16" t="n"/>
      <c r="AA9" s="16" t="n"/>
      <c r="AB9" s="16" t="n"/>
      <c r="AC9" s="49">
        <f>IF($A9="","",IF(AD9&gt;0,"未入力","CSV可"))</f>
        <v/>
      </c>
      <c r="AD9">
        <f>IF($A9="","",IF($A9="",1,0)+IF($B9="",1,0)+IF($C9="",1,0)+IF($D9="",1,0)+IF($E9="",1,0)+IF($F9="",1,0)+IF($G9="",1,0)+IF($H9="",1,0)+IF($I9="",1,0)+IF($L9="",1,0)+IF($M9="",1,0)+IF($N9="",1,0)+IF($O9="",1,0)+IF($P9="",1,0)+IF($Q9="",1,0)+IF($S9="",1,0)+IF($U9="",1,0)+IF($V9="",1,0)+IF($X9="",1,0)+IF($Z9="",1,0)+IF(AND($X9="あり",$Y9=""),1,0))</f>
        <v/>
      </c>
    </row>
    <row r="10">
      <c r="A10" s="16" t="n"/>
      <c r="B10" s="16" t="n"/>
      <c r="C10" s="18" t="n"/>
      <c r="D10" s="46" t="n"/>
      <c r="E10" s="46" t="n"/>
      <c r="F10" s="46" t="n"/>
      <c r="G10" s="46" t="n"/>
      <c r="H10" s="16" t="n"/>
      <c r="I10" s="16" t="n"/>
      <c r="J10" s="16" t="n"/>
      <c r="K10" s="16" t="n"/>
      <c r="L10" s="16" t="n"/>
      <c r="M10" s="18" t="n"/>
      <c r="N10" s="18" t="n"/>
      <c r="O10" s="16" t="n"/>
      <c r="P10" s="18" t="n"/>
      <c r="Q10" s="18" t="n"/>
      <c r="R10" s="47">
        <f>IF(OR($P10="",$Q10=""),"",IF($Q10&lt;$P10,"",$Q10-$P10+1))</f>
        <v/>
      </c>
      <c r="S10" s="16" t="n"/>
      <c r="T10" s="16" t="n"/>
      <c r="U10" s="16" t="n"/>
      <c r="V10" s="16" t="n"/>
      <c r="W10" s="48" t="n"/>
      <c r="X10" s="16" t="n"/>
      <c r="Y10" s="48" t="n"/>
      <c r="Z10" s="16" t="n"/>
      <c r="AA10" s="16" t="n"/>
      <c r="AB10" s="16" t="n"/>
      <c r="AC10" s="49">
        <f>IF($A10="","",IF(AD10&gt;0,"未入力","CSV可"))</f>
        <v/>
      </c>
      <c r="AD10">
        <f>IF($A10="","",IF($A10="",1,0)+IF($B10="",1,0)+IF($C10="",1,0)+IF($D10="",1,0)+IF($E10="",1,0)+IF($F10="",1,0)+IF($G10="",1,0)+IF($H10="",1,0)+IF($I10="",1,0)+IF($L10="",1,0)+IF($M10="",1,0)+IF($N10="",1,0)+IF($O10="",1,0)+IF($P10="",1,0)+IF($Q10="",1,0)+IF($S10="",1,0)+IF($U10="",1,0)+IF($V10="",1,0)+IF($X10="",1,0)+IF($Z10="",1,0)+IF(AND($X10="あり",$Y10=""),1,0))</f>
        <v/>
      </c>
    </row>
    <row r="11">
      <c r="A11" s="16" t="n"/>
      <c r="B11" s="16" t="n"/>
      <c r="C11" s="18" t="n"/>
      <c r="D11" s="46" t="n"/>
      <c r="E11" s="46" t="n"/>
      <c r="F11" s="46" t="n"/>
      <c r="G11" s="46" t="n"/>
      <c r="H11" s="16" t="n"/>
      <c r="I11" s="16" t="n"/>
      <c r="J11" s="16" t="n"/>
      <c r="K11" s="16" t="n"/>
      <c r="L11" s="16" t="n"/>
      <c r="M11" s="18" t="n"/>
      <c r="N11" s="18" t="n"/>
      <c r="O11" s="16" t="n"/>
      <c r="P11" s="18" t="n"/>
      <c r="Q11" s="18" t="n"/>
      <c r="R11" s="47">
        <f>IF(OR($P11="",$Q11=""),"",IF($Q11&lt;$P11,"",$Q11-$P11+1))</f>
        <v/>
      </c>
      <c r="S11" s="16" t="n"/>
      <c r="T11" s="16" t="n"/>
      <c r="U11" s="16" t="n"/>
      <c r="V11" s="16" t="n"/>
      <c r="W11" s="48" t="n"/>
      <c r="X11" s="16" t="n"/>
      <c r="Y11" s="48" t="n"/>
      <c r="Z11" s="16" t="n"/>
      <c r="AA11" s="16" t="n"/>
      <c r="AB11" s="16" t="n"/>
      <c r="AC11" s="49">
        <f>IF($A11="","",IF(AD11&gt;0,"未入力","CSV可"))</f>
        <v/>
      </c>
      <c r="AD11">
        <f>IF($A11="","",IF($A11="",1,0)+IF($B11="",1,0)+IF($C11="",1,0)+IF($D11="",1,0)+IF($E11="",1,0)+IF($F11="",1,0)+IF($G11="",1,0)+IF($H11="",1,0)+IF($I11="",1,0)+IF($L11="",1,0)+IF($M11="",1,0)+IF($N11="",1,0)+IF($O11="",1,0)+IF($P11="",1,0)+IF($Q11="",1,0)+IF($S11="",1,0)+IF($U11="",1,0)+IF($V11="",1,0)+IF($X11="",1,0)+IF($Z11="",1,0)+IF(AND($X11="あり",$Y11=""),1,0))</f>
        <v/>
      </c>
    </row>
    <row r="12">
      <c r="A12" s="16" t="n"/>
      <c r="B12" s="16" t="n"/>
      <c r="C12" s="18" t="n"/>
      <c r="D12" s="46" t="n"/>
      <c r="E12" s="46" t="n"/>
      <c r="F12" s="46" t="n"/>
      <c r="G12" s="46" t="n"/>
      <c r="H12" s="16" t="n"/>
      <c r="I12" s="16" t="n"/>
      <c r="J12" s="16" t="n"/>
      <c r="K12" s="16" t="n"/>
      <c r="L12" s="16" t="n"/>
      <c r="M12" s="18" t="n"/>
      <c r="N12" s="18" t="n"/>
      <c r="O12" s="16" t="n"/>
      <c r="P12" s="18" t="n"/>
      <c r="Q12" s="18" t="n"/>
      <c r="R12" s="47">
        <f>IF(OR($P12="",$Q12=""),"",IF($Q12&lt;$P12,"",$Q12-$P12+1))</f>
        <v/>
      </c>
      <c r="S12" s="16" t="n"/>
      <c r="T12" s="16" t="n"/>
      <c r="U12" s="16" t="n"/>
      <c r="V12" s="16" t="n"/>
      <c r="W12" s="48" t="n"/>
      <c r="X12" s="16" t="n"/>
      <c r="Y12" s="48" t="n"/>
      <c r="Z12" s="16" t="n"/>
      <c r="AA12" s="16" t="n"/>
      <c r="AB12" s="16" t="n"/>
      <c r="AC12" s="49">
        <f>IF($A12="","",IF(AD12&gt;0,"未入力","CSV可"))</f>
        <v/>
      </c>
      <c r="AD12">
        <f>IF($A12="","",IF($A12="",1,0)+IF($B12="",1,0)+IF($C12="",1,0)+IF($D12="",1,0)+IF($E12="",1,0)+IF($F12="",1,0)+IF($G12="",1,0)+IF($H12="",1,0)+IF($I12="",1,0)+IF($L12="",1,0)+IF($M12="",1,0)+IF($N12="",1,0)+IF($O12="",1,0)+IF($P12="",1,0)+IF($Q12="",1,0)+IF($S12="",1,0)+IF($U12="",1,0)+IF($V12="",1,0)+IF($X12="",1,0)+IF($Z12="",1,0)+IF(AND($X12="あり",$Y12=""),1,0))</f>
        <v/>
      </c>
    </row>
    <row r="13">
      <c r="A13" s="16" t="n"/>
      <c r="B13" s="16" t="n"/>
      <c r="C13" s="18" t="n"/>
      <c r="D13" s="46" t="n"/>
      <c r="E13" s="46" t="n"/>
      <c r="F13" s="46" t="n"/>
      <c r="G13" s="46" t="n"/>
      <c r="H13" s="16" t="n"/>
      <c r="I13" s="16" t="n"/>
      <c r="J13" s="16" t="n"/>
      <c r="K13" s="16" t="n"/>
      <c r="L13" s="16" t="n"/>
      <c r="M13" s="18" t="n"/>
      <c r="N13" s="18" t="n"/>
      <c r="O13" s="16" t="n"/>
      <c r="P13" s="18" t="n"/>
      <c r="Q13" s="18" t="n"/>
      <c r="R13" s="47">
        <f>IF(OR($P13="",$Q13=""),"",IF($Q13&lt;$P13,"",$Q13-$P13+1))</f>
        <v/>
      </c>
      <c r="S13" s="16" t="n"/>
      <c r="T13" s="16" t="n"/>
      <c r="U13" s="16" t="n"/>
      <c r="V13" s="16" t="n"/>
      <c r="W13" s="48" t="n"/>
      <c r="X13" s="16" t="n"/>
      <c r="Y13" s="48" t="n"/>
      <c r="Z13" s="16" t="n"/>
      <c r="AA13" s="16" t="n"/>
      <c r="AB13" s="16" t="n"/>
      <c r="AC13" s="49">
        <f>IF($A13="","",IF(AD13&gt;0,"未入力","CSV可"))</f>
        <v/>
      </c>
      <c r="AD13">
        <f>IF($A13="","",IF($A13="",1,0)+IF($B13="",1,0)+IF($C13="",1,0)+IF($D13="",1,0)+IF($E13="",1,0)+IF($F13="",1,0)+IF($G13="",1,0)+IF($H13="",1,0)+IF($I13="",1,0)+IF($L13="",1,0)+IF($M13="",1,0)+IF($N13="",1,0)+IF($O13="",1,0)+IF($P13="",1,0)+IF($Q13="",1,0)+IF($S13="",1,0)+IF($U13="",1,0)+IF($V13="",1,0)+IF($X13="",1,0)+IF($Z13="",1,0)+IF(AND($X13="あり",$Y13=""),1,0))</f>
        <v/>
      </c>
    </row>
    <row r="14">
      <c r="A14" s="16" t="n"/>
      <c r="B14" s="16" t="n"/>
      <c r="C14" s="18" t="n"/>
      <c r="D14" s="46" t="n"/>
      <c r="E14" s="46" t="n"/>
      <c r="F14" s="46" t="n"/>
      <c r="G14" s="46" t="n"/>
      <c r="H14" s="16" t="n"/>
      <c r="I14" s="16" t="n"/>
      <c r="J14" s="16" t="n"/>
      <c r="K14" s="16" t="n"/>
      <c r="L14" s="16" t="n"/>
      <c r="M14" s="18" t="n"/>
      <c r="N14" s="18" t="n"/>
      <c r="O14" s="16" t="n"/>
      <c r="P14" s="18" t="n"/>
      <c r="Q14" s="18" t="n"/>
      <c r="R14" s="47">
        <f>IF(OR($P14="",$Q14=""),"",IF($Q14&lt;$P14,"",$Q14-$P14+1))</f>
        <v/>
      </c>
      <c r="S14" s="16" t="n"/>
      <c r="T14" s="16" t="n"/>
      <c r="U14" s="16" t="n"/>
      <c r="V14" s="16" t="n"/>
      <c r="W14" s="48" t="n"/>
      <c r="X14" s="16" t="n"/>
      <c r="Y14" s="48" t="n"/>
      <c r="Z14" s="16" t="n"/>
      <c r="AA14" s="16" t="n"/>
      <c r="AB14" s="16" t="n"/>
      <c r="AC14" s="49">
        <f>IF($A14="","",IF(AD14&gt;0,"未入力","CSV可"))</f>
        <v/>
      </c>
      <c r="AD14">
        <f>IF($A14="","",IF($A14="",1,0)+IF($B14="",1,0)+IF($C14="",1,0)+IF($D14="",1,0)+IF($E14="",1,0)+IF($F14="",1,0)+IF($G14="",1,0)+IF($H14="",1,0)+IF($I14="",1,0)+IF($L14="",1,0)+IF($M14="",1,0)+IF($N14="",1,0)+IF($O14="",1,0)+IF($P14="",1,0)+IF($Q14="",1,0)+IF($S14="",1,0)+IF($U14="",1,0)+IF($V14="",1,0)+IF($X14="",1,0)+IF($Z14="",1,0)+IF(AND($X14="あり",$Y14=""),1,0))</f>
        <v/>
      </c>
    </row>
    <row r="15">
      <c r="A15" s="16" t="n"/>
      <c r="B15" s="16" t="n"/>
      <c r="C15" s="18" t="n"/>
      <c r="D15" s="46" t="n"/>
      <c r="E15" s="46" t="n"/>
      <c r="F15" s="46" t="n"/>
      <c r="G15" s="46" t="n"/>
      <c r="H15" s="16" t="n"/>
      <c r="I15" s="16" t="n"/>
      <c r="J15" s="16" t="n"/>
      <c r="K15" s="16" t="n"/>
      <c r="L15" s="16" t="n"/>
      <c r="M15" s="18" t="n"/>
      <c r="N15" s="18" t="n"/>
      <c r="O15" s="16" t="n"/>
      <c r="P15" s="18" t="n"/>
      <c r="Q15" s="18" t="n"/>
      <c r="R15" s="47">
        <f>IF(OR($P15="",$Q15=""),"",IF($Q15&lt;$P15,"",$Q15-$P15+1))</f>
        <v/>
      </c>
      <c r="S15" s="16" t="n"/>
      <c r="T15" s="16" t="n"/>
      <c r="U15" s="16" t="n"/>
      <c r="V15" s="16" t="n"/>
      <c r="W15" s="48" t="n"/>
      <c r="X15" s="16" t="n"/>
      <c r="Y15" s="48" t="n"/>
      <c r="Z15" s="16" t="n"/>
      <c r="AA15" s="16" t="n"/>
      <c r="AB15" s="16" t="n"/>
      <c r="AC15" s="49">
        <f>IF($A15="","",IF(AD15&gt;0,"未入力","CSV可"))</f>
        <v/>
      </c>
      <c r="AD15">
        <f>IF($A15="","",IF($A15="",1,0)+IF($B15="",1,0)+IF($C15="",1,0)+IF($D15="",1,0)+IF($E15="",1,0)+IF($F15="",1,0)+IF($G15="",1,0)+IF($H15="",1,0)+IF($I15="",1,0)+IF($L15="",1,0)+IF($M15="",1,0)+IF($N15="",1,0)+IF($O15="",1,0)+IF($P15="",1,0)+IF($Q15="",1,0)+IF($S15="",1,0)+IF($U15="",1,0)+IF($V15="",1,0)+IF($X15="",1,0)+IF($Z15="",1,0)+IF(AND($X15="あり",$Y15=""),1,0))</f>
        <v/>
      </c>
    </row>
    <row r="16">
      <c r="A16" s="16" t="n"/>
      <c r="B16" s="16" t="n"/>
      <c r="C16" s="18" t="n"/>
      <c r="D16" s="46" t="n"/>
      <c r="E16" s="46" t="n"/>
      <c r="F16" s="46" t="n"/>
      <c r="G16" s="46" t="n"/>
      <c r="H16" s="16" t="n"/>
      <c r="I16" s="16" t="n"/>
      <c r="J16" s="16" t="n"/>
      <c r="K16" s="16" t="n"/>
      <c r="L16" s="16" t="n"/>
      <c r="M16" s="18" t="n"/>
      <c r="N16" s="18" t="n"/>
      <c r="O16" s="16" t="n"/>
      <c r="P16" s="18" t="n"/>
      <c r="Q16" s="18" t="n"/>
      <c r="R16" s="47">
        <f>IF(OR($P16="",$Q16=""),"",IF($Q16&lt;$P16,"",$Q16-$P16+1))</f>
        <v/>
      </c>
      <c r="S16" s="16" t="n"/>
      <c r="T16" s="16" t="n"/>
      <c r="U16" s="16" t="n"/>
      <c r="V16" s="16" t="n"/>
      <c r="W16" s="48" t="n"/>
      <c r="X16" s="16" t="n"/>
      <c r="Y16" s="48" t="n"/>
      <c r="Z16" s="16" t="n"/>
      <c r="AA16" s="16" t="n"/>
      <c r="AB16" s="16" t="n"/>
      <c r="AC16" s="49">
        <f>IF($A16="","",IF(AD16&gt;0,"未入力","CSV可"))</f>
        <v/>
      </c>
      <c r="AD16">
        <f>IF($A16="","",IF($A16="",1,0)+IF($B16="",1,0)+IF($C16="",1,0)+IF($D16="",1,0)+IF($E16="",1,0)+IF($F16="",1,0)+IF($G16="",1,0)+IF($H16="",1,0)+IF($I16="",1,0)+IF($L16="",1,0)+IF($M16="",1,0)+IF($N16="",1,0)+IF($O16="",1,0)+IF($P16="",1,0)+IF($Q16="",1,0)+IF($S16="",1,0)+IF($U16="",1,0)+IF($V16="",1,0)+IF($X16="",1,0)+IF($Z16="",1,0)+IF(AND($X16="あり",$Y16=""),1,0))</f>
        <v/>
      </c>
    </row>
    <row r="17">
      <c r="A17" s="16" t="n"/>
      <c r="B17" s="16" t="n"/>
      <c r="C17" s="18" t="n"/>
      <c r="D17" s="46" t="n"/>
      <c r="E17" s="46" t="n"/>
      <c r="F17" s="46" t="n"/>
      <c r="G17" s="46" t="n"/>
      <c r="H17" s="16" t="n"/>
      <c r="I17" s="16" t="n"/>
      <c r="J17" s="16" t="n"/>
      <c r="K17" s="16" t="n"/>
      <c r="L17" s="16" t="n"/>
      <c r="M17" s="18" t="n"/>
      <c r="N17" s="18" t="n"/>
      <c r="O17" s="16" t="n"/>
      <c r="P17" s="18" t="n"/>
      <c r="Q17" s="18" t="n"/>
      <c r="R17" s="47">
        <f>IF(OR($P17="",$Q17=""),"",IF($Q17&lt;$P17,"",$Q17-$P17+1))</f>
        <v/>
      </c>
      <c r="S17" s="16" t="n"/>
      <c r="T17" s="16" t="n"/>
      <c r="U17" s="16" t="n"/>
      <c r="V17" s="16" t="n"/>
      <c r="W17" s="48" t="n"/>
      <c r="X17" s="16" t="n"/>
      <c r="Y17" s="48" t="n"/>
      <c r="Z17" s="16" t="n"/>
      <c r="AA17" s="16" t="n"/>
      <c r="AB17" s="16" t="n"/>
      <c r="AC17" s="49">
        <f>IF($A17="","",IF(AD17&gt;0,"未入力","CSV可"))</f>
        <v/>
      </c>
      <c r="AD17">
        <f>IF($A17="","",IF($A17="",1,0)+IF($B17="",1,0)+IF($C17="",1,0)+IF($D17="",1,0)+IF($E17="",1,0)+IF($F17="",1,0)+IF($G17="",1,0)+IF($H17="",1,0)+IF($I17="",1,0)+IF($L17="",1,0)+IF($M17="",1,0)+IF($N17="",1,0)+IF($O17="",1,0)+IF($P17="",1,0)+IF($Q17="",1,0)+IF($S17="",1,0)+IF($U17="",1,0)+IF($V17="",1,0)+IF($X17="",1,0)+IF($Z17="",1,0)+IF(AND($X17="あり",$Y17=""),1,0))</f>
        <v/>
      </c>
    </row>
    <row r="18">
      <c r="A18" s="16" t="n"/>
      <c r="B18" s="16" t="n"/>
      <c r="C18" s="18" t="n"/>
      <c r="D18" s="46" t="n"/>
      <c r="E18" s="46" t="n"/>
      <c r="F18" s="46" t="n"/>
      <c r="G18" s="46" t="n"/>
      <c r="H18" s="16" t="n"/>
      <c r="I18" s="16" t="n"/>
      <c r="J18" s="16" t="n"/>
      <c r="K18" s="16" t="n"/>
      <c r="L18" s="16" t="n"/>
      <c r="M18" s="18" t="n"/>
      <c r="N18" s="18" t="n"/>
      <c r="O18" s="16" t="n"/>
      <c r="P18" s="18" t="n"/>
      <c r="Q18" s="18" t="n"/>
      <c r="R18" s="47">
        <f>IF(OR($P18="",$Q18=""),"",IF($Q18&lt;$P18,"",$Q18-$P18+1))</f>
        <v/>
      </c>
      <c r="S18" s="16" t="n"/>
      <c r="T18" s="16" t="n"/>
      <c r="U18" s="16" t="n"/>
      <c r="V18" s="16" t="n"/>
      <c r="W18" s="48" t="n"/>
      <c r="X18" s="16" t="n"/>
      <c r="Y18" s="48" t="n"/>
      <c r="Z18" s="16" t="n"/>
      <c r="AA18" s="16" t="n"/>
      <c r="AB18" s="16" t="n"/>
      <c r="AC18" s="49">
        <f>IF($A18="","",IF(AD18&gt;0,"未入力","CSV可"))</f>
        <v/>
      </c>
      <c r="AD18">
        <f>IF($A18="","",IF($A18="",1,0)+IF($B18="",1,0)+IF($C18="",1,0)+IF($D18="",1,0)+IF($E18="",1,0)+IF($F18="",1,0)+IF($G18="",1,0)+IF($H18="",1,0)+IF($I18="",1,0)+IF($L18="",1,0)+IF($M18="",1,0)+IF($N18="",1,0)+IF($O18="",1,0)+IF($P18="",1,0)+IF($Q18="",1,0)+IF($S18="",1,0)+IF($U18="",1,0)+IF($V18="",1,0)+IF($X18="",1,0)+IF($Z18="",1,0)+IF(AND($X18="あり",$Y18=""),1,0))</f>
        <v/>
      </c>
    </row>
    <row r="19">
      <c r="A19" s="16" t="n"/>
      <c r="B19" s="16" t="n"/>
      <c r="C19" s="18" t="n"/>
      <c r="D19" s="46" t="n"/>
      <c r="E19" s="46" t="n"/>
      <c r="F19" s="46" t="n"/>
      <c r="G19" s="46" t="n"/>
      <c r="H19" s="16" t="n"/>
      <c r="I19" s="16" t="n"/>
      <c r="J19" s="16" t="n"/>
      <c r="K19" s="16" t="n"/>
      <c r="L19" s="16" t="n"/>
      <c r="M19" s="18" t="n"/>
      <c r="N19" s="18" t="n"/>
      <c r="O19" s="16" t="n"/>
      <c r="P19" s="18" t="n"/>
      <c r="Q19" s="18" t="n"/>
      <c r="R19" s="47">
        <f>IF(OR($P19="",$Q19=""),"",IF($Q19&lt;$P19,"",$Q19-$P19+1))</f>
        <v/>
      </c>
      <c r="S19" s="16" t="n"/>
      <c r="T19" s="16" t="n"/>
      <c r="U19" s="16" t="n"/>
      <c r="V19" s="16" t="n"/>
      <c r="W19" s="48" t="n"/>
      <c r="X19" s="16" t="n"/>
      <c r="Y19" s="48" t="n"/>
      <c r="Z19" s="16" t="n"/>
      <c r="AA19" s="16" t="n"/>
      <c r="AB19" s="16" t="n"/>
      <c r="AC19" s="49">
        <f>IF($A19="","",IF(AD19&gt;0,"未入力","CSV可"))</f>
        <v/>
      </c>
      <c r="AD19">
        <f>IF($A19="","",IF($A19="",1,0)+IF($B19="",1,0)+IF($C19="",1,0)+IF($D19="",1,0)+IF($E19="",1,0)+IF($F19="",1,0)+IF($G19="",1,0)+IF($H19="",1,0)+IF($I19="",1,0)+IF($L19="",1,0)+IF($M19="",1,0)+IF($N19="",1,0)+IF($O19="",1,0)+IF($P19="",1,0)+IF($Q19="",1,0)+IF($S19="",1,0)+IF($U19="",1,0)+IF($V19="",1,0)+IF($X19="",1,0)+IF($Z19="",1,0)+IF(AND($X19="あり",$Y19=""),1,0))</f>
        <v/>
      </c>
    </row>
    <row r="20">
      <c r="A20" s="16" t="n"/>
      <c r="B20" s="16" t="n"/>
      <c r="C20" s="18" t="n"/>
      <c r="D20" s="46" t="n"/>
      <c r="E20" s="46" t="n"/>
      <c r="F20" s="46" t="n"/>
      <c r="G20" s="46" t="n"/>
      <c r="H20" s="16" t="n"/>
      <c r="I20" s="16" t="n"/>
      <c r="J20" s="16" t="n"/>
      <c r="K20" s="16" t="n"/>
      <c r="L20" s="16" t="n"/>
      <c r="M20" s="18" t="n"/>
      <c r="N20" s="18" t="n"/>
      <c r="O20" s="16" t="n"/>
      <c r="P20" s="18" t="n"/>
      <c r="Q20" s="18" t="n"/>
      <c r="R20" s="47">
        <f>IF(OR($P20="",$Q20=""),"",IF($Q20&lt;$P20,"",$Q20-$P20+1))</f>
        <v/>
      </c>
      <c r="S20" s="16" t="n"/>
      <c r="T20" s="16" t="n"/>
      <c r="U20" s="16" t="n"/>
      <c r="V20" s="16" t="n"/>
      <c r="W20" s="48" t="n"/>
      <c r="X20" s="16" t="n"/>
      <c r="Y20" s="48" t="n"/>
      <c r="Z20" s="16" t="n"/>
      <c r="AA20" s="16" t="n"/>
      <c r="AB20" s="16" t="n"/>
      <c r="AC20" s="49">
        <f>IF($A20="","",IF(AD20&gt;0,"未入力","CSV可"))</f>
        <v/>
      </c>
      <c r="AD20">
        <f>IF($A20="","",IF($A20="",1,0)+IF($B20="",1,0)+IF($C20="",1,0)+IF($D20="",1,0)+IF($E20="",1,0)+IF($F20="",1,0)+IF($G20="",1,0)+IF($H20="",1,0)+IF($I20="",1,0)+IF($L20="",1,0)+IF($M20="",1,0)+IF($N20="",1,0)+IF($O20="",1,0)+IF($P20="",1,0)+IF($Q20="",1,0)+IF($S20="",1,0)+IF($U20="",1,0)+IF($V20="",1,0)+IF($X20="",1,0)+IF($Z20="",1,0)+IF(AND($X20="あり",$Y20=""),1,0))</f>
        <v/>
      </c>
    </row>
    <row r="21">
      <c r="A21" s="16" t="n"/>
      <c r="B21" s="16" t="n"/>
      <c r="C21" s="18" t="n"/>
      <c r="D21" s="46" t="n"/>
      <c r="E21" s="46" t="n"/>
      <c r="F21" s="46" t="n"/>
      <c r="G21" s="46" t="n"/>
      <c r="H21" s="16" t="n"/>
      <c r="I21" s="16" t="n"/>
      <c r="J21" s="16" t="n"/>
      <c r="K21" s="16" t="n"/>
      <c r="L21" s="16" t="n"/>
      <c r="M21" s="18" t="n"/>
      <c r="N21" s="18" t="n"/>
      <c r="O21" s="16" t="n"/>
      <c r="P21" s="18" t="n"/>
      <c r="Q21" s="18" t="n"/>
      <c r="R21" s="47">
        <f>IF(OR($P21="",$Q21=""),"",IF($Q21&lt;$P21,"",$Q21-$P21+1))</f>
        <v/>
      </c>
      <c r="S21" s="16" t="n"/>
      <c r="T21" s="16" t="n"/>
      <c r="U21" s="16" t="n"/>
      <c r="V21" s="16" t="n"/>
      <c r="W21" s="48" t="n"/>
      <c r="X21" s="16" t="n"/>
      <c r="Y21" s="48" t="n"/>
      <c r="Z21" s="16" t="n"/>
      <c r="AA21" s="16" t="n"/>
      <c r="AB21" s="16" t="n"/>
      <c r="AC21" s="49">
        <f>IF($A21="","",IF(AD21&gt;0,"未入力","CSV可"))</f>
        <v/>
      </c>
      <c r="AD21">
        <f>IF($A21="","",IF($A21="",1,0)+IF($B21="",1,0)+IF($C21="",1,0)+IF($D21="",1,0)+IF($E21="",1,0)+IF($F21="",1,0)+IF($G21="",1,0)+IF($H21="",1,0)+IF($I21="",1,0)+IF($L21="",1,0)+IF($M21="",1,0)+IF($N21="",1,0)+IF($O21="",1,0)+IF($P21="",1,0)+IF($Q21="",1,0)+IF($S21="",1,0)+IF($U21="",1,0)+IF($V21="",1,0)+IF($X21="",1,0)+IF($Z21="",1,0)+IF(AND($X21="あり",$Y21=""),1,0))</f>
        <v/>
      </c>
    </row>
    <row r="22">
      <c r="A22" s="16" t="n"/>
      <c r="B22" s="16" t="n"/>
      <c r="C22" s="18" t="n"/>
      <c r="D22" s="46" t="n"/>
      <c r="E22" s="46" t="n"/>
      <c r="F22" s="46" t="n"/>
      <c r="G22" s="46" t="n"/>
      <c r="H22" s="16" t="n"/>
      <c r="I22" s="16" t="n"/>
      <c r="J22" s="16" t="n"/>
      <c r="K22" s="16" t="n"/>
      <c r="L22" s="16" t="n"/>
      <c r="M22" s="18" t="n"/>
      <c r="N22" s="18" t="n"/>
      <c r="O22" s="16" t="n"/>
      <c r="P22" s="18" t="n"/>
      <c r="Q22" s="18" t="n"/>
      <c r="R22" s="47">
        <f>IF(OR($P22="",$Q22=""),"",IF($Q22&lt;$P22,"",$Q22-$P22+1))</f>
        <v/>
      </c>
      <c r="S22" s="16" t="n"/>
      <c r="T22" s="16" t="n"/>
      <c r="U22" s="16" t="n"/>
      <c r="V22" s="16" t="n"/>
      <c r="W22" s="48" t="n"/>
      <c r="X22" s="16" t="n"/>
      <c r="Y22" s="48" t="n"/>
      <c r="Z22" s="16" t="n"/>
      <c r="AA22" s="16" t="n"/>
      <c r="AB22" s="16" t="n"/>
      <c r="AC22" s="49">
        <f>IF($A22="","",IF(AD22&gt;0,"未入力","CSV可"))</f>
        <v/>
      </c>
      <c r="AD22">
        <f>IF($A22="","",IF($A22="",1,0)+IF($B22="",1,0)+IF($C22="",1,0)+IF($D22="",1,0)+IF($E22="",1,0)+IF($F22="",1,0)+IF($G22="",1,0)+IF($H22="",1,0)+IF($I22="",1,0)+IF($L22="",1,0)+IF($M22="",1,0)+IF($N22="",1,0)+IF($O22="",1,0)+IF($P22="",1,0)+IF($Q22="",1,0)+IF($S22="",1,0)+IF($U22="",1,0)+IF($V22="",1,0)+IF($X22="",1,0)+IF($Z22="",1,0)+IF(AND($X22="あり",$Y22=""),1,0))</f>
        <v/>
      </c>
    </row>
    <row r="23">
      <c r="A23" s="16" t="n"/>
      <c r="B23" s="16" t="n"/>
      <c r="C23" s="18" t="n"/>
      <c r="D23" s="46" t="n"/>
      <c r="E23" s="46" t="n"/>
      <c r="F23" s="46" t="n"/>
      <c r="G23" s="46" t="n"/>
      <c r="H23" s="16" t="n"/>
      <c r="I23" s="16" t="n"/>
      <c r="J23" s="16" t="n"/>
      <c r="K23" s="16" t="n"/>
      <c r="L23" s="16" t="n"/>
      <c r="M23" s="18" t="n"/>
      <c r="N23" s="18" t="n"/>
      <c r="O23" s="16" t="n"/>
      <c r="P23" s="18" t="n"/>
      <c r="Q23" s="18" t="n"/>
      <c r="R23" s="47">
        <f>IF(OR($P23="",$Q23=""),"",IF($Q23&lt;$P23,"",$Q23-$P23+1))</f>
        <v/>
      </c>
      <c r="S23" s="16" t="n"/>
      <c r="T23" s="16" t="n"/>
      <c r="U23" s="16" t="n"/>
      <c r="V23" s="16" t="n"/>
      <c r="W23" s="48" t="n"/>
      <c r="X23" s="16" t="n"/>
      <c r="Y23" s="48" t="n"/>
      <c r="Z23" s="16" t="n"/>
      <c r="AA23" s="16" t="n"/>
      <c r="AB23" s="16" t="n"/>
      <c r="AC23" s="49">
        <f>IF($A23="","",IF(AD23&gt;0,"未入力","CSV可"))</f>
        <v/>
      </c>
      <c r="AD23">
        <f>IF($A23="","",IF($A23="",1,0)+IF($B23="",1,0)+IF($C23="",1,0)+IF($D23="",1,0)+IF($E23="",1,0)+IF($F23="",1,0)+IF($G23="",1,0)+IF($H23="",1,0)+IF($I23="",1,0)+IF($L23="",1,0)+IF($M23="",1,0)+IF($N23="",1,0)+IF($O23="",1,0)+IF($P23="",1,0)+IF($Q23="",1,0)+IF($S23="",1,0)+IF($U23="",1,0)+IF($V23="",1,0)+IF($X23="",1,0)+IF($Z23="",1,0)+IF(AND($X23="あり",$Y23=""),1,0))</f>
        <v/>
      </c>
    </row>
    <row r="24">
      <c r="A24" s="16" t="n"/>
      <c r="B24" s="16" t="n"/>
      <c r="C24" s="18" t="n"/>
      <c r="D24" s="46" t="n"/>
      <c r="E24" s="46" t="n"/>
      <c r="F24" s="46" t="n"/>
      <c r="G24" s="46" t="n"/>
      <c r="H24" s="16" t="n"/>
      <c r="I24" s="16" t="n"/>
      <c r="J24" s="16" t="n"/>
      <c r="K24" s="16" t="n"/>
      <c r="L24" s="16" t="n"/>
      <c r="M24" s="18" t="n"/>
      <c r="N24" s="18" t="n"/>
      <c r="O24" s="16" t="n"/>
      <c r="P24" s="18" t="n"/>
      <c r="Q24" s="18" t="n"/>
      <c r="R24" s="47">
        <f>IF(OR($P24="",$Q24=""),"",IF($Q24&lt;$P24,"",$Q24-$P24+1))</f>
        <v/>
      </c>
      <c r="S24" s="16" t="n"/>
      <c r="T24" s="16" t="n"/>
      <c r="U24" s="16" t="n"/>
      <c r="V24" s="16" t="n"/>
      <c r="W24" s="48" t="n"/>
      <c r="X24" s="16" t="n"/>
      <c r="Y24" s="48" t="n"/>
      <c r="Z24" s="16" t="n"/>
      <c r="AA24" s="16" t="n"/>
      <c r="AB24" s="16" t="n"/>
      <c r="AC24" s="49">
        <f>IF($A24="","",IF(AD24&gt;0,"未入力","CSV可"))</f>
        <v/>
      </c>
      <c r="AD24">
        <f>IF($A24="","",IF($A24="",1,0)+IF($B24="",1,0)+IF($C24="",1,0)+IF($D24="",1,0)+IF($E24="",1,0)+IF($F24="",1,0)+IF($G24="",1,0)+IF($H24="",1,0)+IF($I24="",1,0)+IF($L24="",1,0)+IF($M24="",1,0)+IF($N24="",1,0)+IF($O24="",1,0)+IF($P24="",1,0)+IF($Q24="",1,0)+IF($S24="",1,0)+IF($U24="",1,0)+IF($V24="",1,0)+IF($X24="",1,0)+IF($Z24="",1,0)+IF(AND($X24="あり",$Y24=""),1,0))</f>
        <v/>
      </c>
    </row>
    <row r="25">
      <c r="A25" s="16" t="n"/>
      <c r="B25" s="16" t="n"/>
      <c r="C25" s="18" t="n"/>
      <c r="D25" s="46" t="n"/>
      <c r="E25" s="46" t="n"/>
      <c r="F25" s="46" t="n"/>
      <c r="G25" s="46" t="n"/>
      <c r="H25" s="16" t="n"/>
      <c r="I25" s="16" t="n"/>
      <c r="J25" s="16" t="n"/>
      <c r="K25" s="16" t="n"/>
      <c r="L25" s="16" t="n"/>
      <c r="M25" s="18" t="n"/>
      <c r="N25" s="18" t="n"/>
      <c r="O25" s="16" t="n"/>
      <c r="P25" s="18" t="n"/>
      <c r="Q25" s="18" t="n"/>
      <c r="R25" s="47">
        <f>IF(OR($P25="",$Q25=""),"",IF($Q25&lt;$P25,"",$Q25-$P25+1))</f>
        <v/>
      </c>
      <c r="S25" s="16" t="n"/>
      <c r="T25" s="16" t="n"/>
      <c r="U25" s="16" t="n"/>
      <c r="V25" s="16" t="n"/>
      <c r="W25" s="48" t="n"/>
      <c r="X25" s="16" t="n"/>
      <c r="Y25" s="48" t="n"/>
      <c r="Z25" s="16" t="n"/>
      <c r="AA25" s="16" t="n"/>
      <c r="AB25" s="16" t="n"/>
      <c r="AC25" s="49">
        <f>IF($A25="","",IF(AD25&gt;0,"未入力","CSV可"))</f>
        <v/>
      </c>
      <c r="AD25">
        <f>IF($A25="","",IF($A25="",1,0)+IF($B25="",1,0)+IF($C25="",1,0)+IF($D25="",1,0)+IF($E25="",1,0)+IF($F25="",1,0)+IF($G25="",1,0)+IF($H25="",1,0)+IF($I25="",1,0)+IF($L25="",1,0)+IF($M25="",1,0)+IF($N25="",1,0)+IF($O25="",1,0)+IF($P25="",1,0)+IF($Q25="",1,0)+IF($S25="",1,0)+IF($U25="",1,0)+IF($V25="",1,0)+IF($X25="",1,0)+IF($Z25="",1,0)+IF(AND($X25="あり",$Y25=""),1,0))</f>
        <v/>
      </c>
    </row>
    <row r="26">
      <c r="A26" s="16" t="n"/>
      <c r="B26" s="16" t="n"/>
      <c r="C26" s="18" t="n"/>
      <c r="D26" s="46" t="n"/>
      <c r="E26" s="46" t="n"/>
      <c r="F26" s="46" t="n"/>
      <c r="G26" s="46" t="n"/>
      <c r="H26" s="16" t="n"/>
      <c r="I26" s="16" t="n"/>
      <c r="J26" s="16" t="n"/>
      <c r="K26" s="16" t="n"/>
      <c r="L26" s="16" t="n"/>
      <c r="M26" s="18" t="n"/>
      <c r="N26" s="18" t="n"/>
      <c r="O26" s="16" t="n"/>
      <c r="P26" s="18" t="n"/>
      <c r="Q26" s="18" t="n"/>
      <c r="R26" s="47">
        <f>IF(OR($P26="",$Q26=""),"",IF($Q26&lt;$P26,"",$Q26-$P26+1))</f>
        <v/>
      </c>
      <c r="S26" s="16" t="n"/>
      <c r="T26" s="16" t="n"/>
      <c r="U26" s="16" t="n"/>
      <c r="V26" s="16" t="n"/>
      <c r="W26" s="48" t="n"/>
      <c r="X26" s="16" t="n"/>
      <c r="Y26" s="48" t="n"/>
      <c r="Z26" s="16" t="n"/>
      <c r="AA26" s="16" t="n"/>
      <c r="AB26" s="16" t="n"/>
      <c r="AC26" s="49">
        <f>IF($A26="","",IF(AD26&gt;0,"未入力","CSV可"))</f>
        <v/>
      </c>
      <c r="AD26">
        <f>IF($A26="","",IF($A26="",1,0)+IF($B26="",1,0)+IF($C26="",1,0)+IF($D26="",1,0)+IF($E26="",1,0)+IF($F26="",1,0)+IF($G26="",1,0)+IF($H26="",1,0)+IF($I26="",1,0)+IF($L26="",1,0)+IF($M26="",1,0)+IF($N26="",1,0)+IF($O26="",1,0)+IF($P26="",1,0)+IF($Q26="",1,0)+IF($S26="",1,0)+IF($U26="",1,0)+IF($V26="",1,0)+IF($X26="",1,0)+IF($Z26="",1,0)+IF(AND($X26="あり",$Y26=""),1,0))</f>
        <v/>
      </c>
    </row>
    <row r="27">
      <c r="A27" s="16" t="n"/>
      <c r="B27" s="16" t="n"/>
      <c r="C27" s="18" t="n"/>
      <c r="D27" s="46" t="n"/>
      <c r="E27" s="46" t="n"/>
      <c r="F27" s="46" t="n"/>
      <c r="G27" s="46" t="n"/>
      <c r="H27" s="16" t="n"/>
      <c r="I27" s="16" t="n"/>
      <c r="J27" s="16" t="n"/>
      <c r="K27" s="16" t="n"/>
      <c r="L27" s="16" t="n"/>
      <c r="M27" s="18" t="n"/>
      <c r="N27" s="18" t="n"/>
      <c r="O27" s="16" t="n"/>
      <c r="P27" s="18" t="n"/>
      <c r="Q27" s="18" t="n"/>
      <c r="R27" s="47">
        <f>IF(OR($P27="",$Q27=""),"",IF($Q27&lt;$P27,"",$Q27-$P27+1))</f>
        <v/>
      </c>
      <c r="S27" s="16" t="n"/>
      <c r="T27" s="16" t="n"/>
      <c r="U27" s="16" t="n"/>
      <c r="V27" s="16" t="n"/>
      <c r="W27" s="48" t="n"/>
      <c r="X27" s="16" t="n"/>
      <c r="Y27" s="48" t="n"/>
      <c r="Z27" s="16" t="n"/>
      <c r="AA27" s="16" t="n"/>
      <c r="AB27" s="16" t="n"/>
      <c r="AC27" s="49">
        <f>IF($A27="","",IF(AD27&gt;0,"未入力","CSV可"))</f>
        <v/>
      </c>
      <c r="AD27">
        <f>IF($A27="","",IF($A27="",1,0)+IF($B27="",1,0)+IF($C27="",1,0)+IF($D27="",1,0)+IF($E27="",1,0)+IF($F27="",1,0)+IF($G27="",1,0)+IF($H27="",1,0)+IF($I27="",1,0)+IF($L27="",1,0)+IF($M27="",1,0)+IF($N27="",1,0)+IF($O27="",1,0)+IF($P27="",1,0)+IF($Q27="",1,0)+IF($S27="",1,0)+IF($U27="",1,0)+IF($V27="",1,0)+IF($X27="",1,0)+IF($Z27="",1,0)+IF(AND($X27="あり",$Y27=""),1,0))</f>
        <v/>
      </c>
    </row>
    <row r="28">
      <c r="A28" s="16" t="n"/>
      <c r="B28" s="16" t="n"/>
      <c r="C28" s="18" t="n"/>
      <c r="D28" s="46" t="n"/>
      <c r="E28" s="46" t="n"/>
      <c r="F28" s="46" t="n"/>
      <c r="G28" s="46" t="n"/>
      <c r="H28" s="16" t="n"/>
      <c r="I28" s="16" t="n"/>
      <c r="J28" s="16" t="n"/>
      <c r="K28" s="16" t="n"/>
      <c r="L28" s="16" t="n"/>
      <c r="M28" s="18" t="n"/>
      <c r="N28" s="18" t="n"/>
      <c r="O28" s="16" t="n"/>
      <c r="P28" s="18" t="n"/>
      <c r="Q28" s="18" t="n"/>
      <c r="R28" s="47">
        <f>IF(OR($P28="",$Q28=""),"",IF($Q28&lt;$P28,"",$Q28-$P28+1))</f>
        <v/>
      </c>
      <c r="S28" s="16" t="n"/>
      <c r="T28" s="16" t="n"/>
      <c r="U28" s="16" t="n"/>
      <c r="V28" s="16" t="n"/>
      <c r="W28" s="48" t="n"/>
      <c r="X28" s="16" t="n"/>
      <c r="Y28" s="48" t="n"/>
      <c r="Z28" s="16" t="n"/>
      <c r="AA28" s="16" t="n"/>
      <c r="AB28" s="16" t="n"/>
      <c r="AC28" s="49">
        <f>IF($A28="","",IF(AD28&gt;0,"未入力","CSV可"))</f>
        <v/>
      </c>
      <c r="AD28">
        <f>IF($A28="","",IF($A28="",1,0)+IF($B28="",1,0)+IF($C28="",1,0)+IF($D28="",1,0)+IF($E28="",1,0)+IF($F28="",1,0)+IF($G28="",1,0)+IF($H28="",1,0)+IF($I28="",1,0)+IF($L28="",1,0)+IF($M28="",1,0)+IF($N28="",1,0)+IF($O28="",1,0)+IF($P28="",1,0)+IF($Q28="",1,0)+IF($S28="",1,0)+IF($U28="",1,0)+IF($V28="",1,0)+IF($X28="",1,0)+IF($Z28="",1,0)+IF(AND($X28="あり",$Y28=""),1,0))</f>
        <v/>
      </c>
    </row>
    <row r="29">
      <c r="A29" s="16" t="n"/>
      <c r="B29" s="16" t="n"/>
      <c r="C29" s="18" t="n"/>
      <c r="D29" s="46" t="n"/>
      <c r="E29" s="46" t="n"/>
      <c r="F29" s="46" t="n"/>
      <c r="G29" s="46" t="n"/>
      <c r="H29" s="16" t="n"/>
      <c r="I29" s="16" t="n"/>
      <c r="J29" s="16" t="n"/>
      <c r="K29" s="16" t="n"/>
      <c r="L29" s="16" t="n"/>
      <c r="M29" s="18" t="n"/>
      <c r="N29" s="18" t="n"/>
      <c r="O29" s="16" t="n"/>
      <c r="P29" s="18" t="n"/>
      <c r="Q29" s="18" t="n"/>
      <c r="R29" s="47">
        <f>IF(OR($P29="",$Q29=""),"",IF($Q29&lt;$P29,"",$Q29-$P29+1))</f>
        <v/>
      </c>
      <c r="S29" s="16" t="n"/>
      <c r="T29" s="16" t="n"/>
      <c r="U29" s="16" t="n"/>
      <c r="V29" s="16" t="n"/>
      <c r="W29" s="48" t="n"/>
      <c r="X29" s="16" t="n"/>
      <c r="Y29" s="48" t="n"/>
      <c r="Z29" s="16" t="n"/>
      <c r="AA29" s="16" t="n"/>
      <c r="AB29" s="16" t="n"/>
      <c r="AC29" s="49">
        <f>IF($A29="","",IF(AD29&gt;0,"未入力","CSV可"))</f>
        <v/>
      </c>
      <c r="AD29">
        <f>IF($A29="","",IF($A29="",1,0)+IF($B29="",1,0)+IF($C29="",1,0)+IF($D29="",1,0)+IF($E29="",1,0)+IF($F29="",1,0)+IF($G29="",1,0)+IF($H29="",1,0)+IF($I29="",1,0)+IF($L29="",1,0)+IF($M29="",1,0)+IF($N29="",1,0)+IF($O29="",1,0)+IF($P29="",1,0)+IF($Q29="",1,0)+IF($S29="",1,0)+IF($U29="",1,0)+IF($V29="",1,0)+IF($X29="",1,0)+IF($Z29="",1,0)+IF(AND($X29="あり",$Y29=""),1,0))</f>
        <v/>
      </c>
    </row>
    <row r="30">
      <c r="A30" s="16" t="n"/>
      <c r="B30" s="16" t="n"/>
      <c r="C30" s="18" t="n"/>
      <c r="D30" s="46" t="n"/>
      <c r="E30" s="46" t="n"/>
      <c r="F30" s="46" t="n"/>
      <c r="G30" s="46" t="n"/>
      <c r="H30" s="16" t="n"/>
      <c r="I30" s="16" t="n"/>
      <c r="J30" s="16" t="n"/>
      <c r="K30" s="16" t="n"/>
      <c r="L30" s="16" t="n"/>
      <c r="M30" s="18" t="n"/>
      <c r="N30" s="18" t="n"/>
      <c r="O30" s="16" t="n"/>
      <c r="P30" s="18" t="n"/>
      <c r="Q30" s="18" t="n"/>
      <c r="R30" s="47">
        <f>IF(OR($P30="",$Q30=""),"",IF($Q30&lt;$P30,"",$Q30-$P30+1))</f>
        <v/>
      </c>
      <c r="S30" s="16" t="n"/>
      <c r="T30" s="16" t="n"/>
      <c r="U30" s="16" t="n"/>
      <c r="V30" s="16" t="n"/>
      <c r="W30" s="48" t="n"/>
      <c r="X30" s="16" t="n"/>
      <c r="Y30" s="48" t="n"/>
      <c r="Z30" s="16" t="n"/>
      <c r="AA30" s="16" t="n"/>
      <c r="AB30" s="16" t="n"/>
      <c r="AC30" s="49">
        <f>IF($A30="","",IF(AD30&gt;0,"未入力","CSV可"))</f>
        <v/>
      </c>
      <c r="AD30">
        <f>IF($A30="","",IF($A30="",1,0)+IF($B30="",1,0)+IF($C30="",1,0)+IF($D30="",1,0)+IF($E30="",1,0)+IF($F30="",1,0)+IF($G30="",1,0)+IF($H30="",1,0)+IF($I30="",1,0)+IF($L30="",1,0)+IF($M30="",1,0)+IF($N30="",1,0)+IF($O30="",1,0)+IF($P30="",1,0)+IF($Q30="",1,0)+IF($S30="",1,0)+IF($U30="",1,0)+IF($V30="",1,0)+IF($X30="",1,0)+IF($Z30="",1,0)+IF(AND($X30="あり",$Y30=""),1,0))</f>
        <v/>
      </c>
    </row>
    <row r="31">
      <c r="A31" s="16" t="n"/>
      <c r="B31" s="16" t="n"/>
      <c r="C31" s="18" t="n"/>
      <c r="D31" s="46" t="n"/>
      <c r="E31" s="46" t="n"/>
      <c r="F31" s="46" t="n"/>
      <c r="G31" s="46" t="n"/>
      <c r="H31" s="16" t="n"/>
      <c r="I31" s="16" t="n"/>
      <c r="J31" s="16" t="n"/>
      <c r="K31" s="16" t="n"/>
      <c r="L31" s="16" t="n"/>
      <c r="M31" s="18" t="n"/>
      <c r="N31" s="18" t="n"/>
      <c r="O31" s="16" t="n"/>
      <c r="P31" s="18" t="n"/>
      <c r="Q31" s="18" t="n"/>
      <c r="R31" s="47">
        <f>IF(OR($P31="",$Q31=""),"",IF($Q31&lt;$P31,"",$Q31-$P31+1))</f>
        <v/>
      </c>
      <c r="S31" s="16" t="n"/>
      <c r="T31" s="16" t="n"/>
      <c r="U31" s="16" t="n"/>
      <c r="V31" s="16" t="n"/>
      <c r="W31" s="48" t="n"/>
      <c r="X31" s="16" t="n"/>
      <c r="Y31" s="48" t="n"/>
      <c r="Z31" s="16" t="n"/>
      <c r="AA31" s="16" t="n"/>
      <c r="AB31" s="16" t="n"/>
      <c r="AC31" s="49">
        <f>IF($A31="","",IF(AD31&gt;0,"未入力","CSV可"))</f>
        <v/>
      </c>
      <c r="AD31">
        <f>IF($A31="","",IF($A31="",1,0)+IF($B31="",1,0)+IF($C31="",1,0)+IF($D31="",1,0)+IF($E31="",1,0)+IF($F31="",1,0)+IF($G31="",1,0)+IF($H31="",1,0)+IF($I31="",1,0)+IF($L31="",1,0)+IF($M31="",1,0)+IF($N31="",1,0)+IF($O31="",1,0)+IF($P31="",1,0)+IF($Q31="",1,0)+IF($S31="",1,0)+IF($U31="",1,0)+IF($V31="",1,0)+IF($X31="",1,0)+IF($Z31="",1,0)+IF(AND($X31="あり",$Y31=""),1,0))</f>
        <v/>
      </c>
    </row>
    <row r="32">
      <c r="A32" s="16" t="n"/>
      <c r="B32" s="16" t="n"/>
      <c r="C32" s="18" t="n"/>
      <c r="D32" s="46" t="n"/>
      <c r="E32" s="46" t="n"/>
      <c r="F32" s="46" t="n"/>
      <c r="G32" s="46" t="n"/>
      <c r="H32" s="16" t="n"/>
      <c r="I32" s="16" t="n"/>
      <c r="J32" s="16" t="n"/>
      <c r="K32" s="16" t="n"/>
      <c r="L32" s="16" t="n"/>
      <c r="M32" s="18" t="n"/>
      <c r="N32" s="18" t="n"/>
      <c r="O32" s="16" t="n"/>
      <c r="P32" s="18" t="n"/>
      <c r="Q32" s="18" t="n"/>
      <c r="R32" s="47">
        <f>IF(OR($P32="",$Q32=""),"",IF($Q32&lt;$P32,"",$Q32-$P32+1))</f>
        <v/>
      </c>
      <c r="S32" s="16" t="n"/>
      <c r="T32" s="16" t="n"/>
      <c r="U32" s="16" t="n"/>
      <c r="V32" s="16" t="n"/>
      <c r="W32" s="48" t="n"/>
      <c r="X32" s="16" t="n"/>
      <c r="Y32" s="48" t="n"/>
      <c r="Z32" s="16" t="n"/>
      <c r="AA32" s="16" t="n"/>
      <c r="AB32" s="16" t="n"/>
      <c r="AC32" s="49">
        <f>IF($A32="","",IF(AD32&gt;0,"未入力","CSV可"))</f>
        <v/>
      </c>
      <c r="AD32">
        <f>IF($A32="","",IF($A32="",1,0)+IF($B32="",1,0)+IF($C32="",1,0)+IF($D32="",1,0)+IF($E32="",1,0)+IF($F32="",1,0)+IF($G32="",1,0)+IF($H32="",1,0)+IF($I32="",1,0)+IF($L32="",1,0)+IF($M32="",1,0)+IF($N32="",1,0)+IF($O32="",1,0)+IF($P32="",1,0)+IF($Q32="",1,0)+IF($S32="",1,0)+IF($U32="",1,0)+IF($V32="",1,0)+IF($X32="",1,0)+IF($Z32="",1,0)+IF(AND($X32="あり",$Y32=""),1,0))</f>
        <v/>
      </c>
    </row>
    <row r="33">
      <c r="A33" s="16" t="n"/>
      <c r="B33" s="16" t="n"/>
      <c r="C33" s="18" t="n"/>
      <c r="D33" s="46" t="n"/>
      <c r="E33" s="46" t="n"/>
      <c r="F33" s="46" t="n"/>
      <c r="G33" s="46" t="n"/>
      <c r="H33" s="16" t="n"/>
      <c r="I33" s="16" t="n"/>
      <c r="J33" s="16" t="n"/>
      <c r="K33" s="16" t="n"/>
      <c r="L33" s="16" t="n"/>
      <c r="M33" s="18" t="n"/>
      <c r="N33" s="18" t="n"/>
      <c r="O33" s="16" t="n"/>
      <c r="P33" s="18" t="n"/>
      <c r="Q33" s="18" t="n"/>
      <c r="R33" s="47">
        <f>IF(OR($P33="",$Q33=""),"",IF($Q33&lt;$P33,"",$Q33-$P33+1))</f>
        <v/>
      </c>
      <c r="S33" s="16" t="n"/>
      <c r="T33" s="16" t="n"/>
      <c r="U33" s="16" t="n"/>
      <c r="V33" s="16" t="n"/>
      <c r="W33" s="48" t="n"/>
      <c r="X33" s="16" t="n"/>
      <c r="Y33" s="48" t="n"/>
      <c r="Z33" s="16" t="n"/>
      <c r="AA33" s="16" t="n"/>
      <c r="AB33" s="16" t="n"/>
      <c r="AC33" s="49">
        <f>IF($A33="","",IF(AD33&gt;0,"未入力","CSV可"))</f>
        <v/>
      </c>
      <c r="AD33">
        <f>IF($A33="","",IF($A33="",1,0)+IF($B33="",1,0)+IF($C33="",1,0)+IF($D33="",1,0)+IF($E33="",1,0)+IF($F33="",1,0)+IF($G33="",1,0)+IF($H33="",1,0)+IF($I33="",1,0)+IF($L33="",1,0)+IF($M33="",1,0)+IF($N33="",1,0)+IF($O33="",1,0)+IF($P33="",1,0)+IF($Q33="",1,0)+IF($S33="",1,0)+IF($U33="",1,0)+IF($V33="",1,0)+IF($X33="",1,0)+IF($Z33="",1,0)+IF(AND($X33="あり",$Y33=""),1,0))</f>
        <v/>
      </c>
    </row>
    <row r="34">
      <c r="A34" s="16" t="n"/>
      <c r="B34" s="16" t="n"/>
      <c r="C34" s="18" t="n"/>
      <c r="D34" s="46" t="n"/>
      <c r="E34" s="46" t="n"/>
      <c r="F34" s="46" t="n"/>
      <c r="G34" s="46" t="n"/>
      <c r="H34" s="16" t="n"/>
      <c r="I34" s="16" t="n"/>
      <c r="J34" s="16" t="n"/>
      <c r="K34" s="16" t="n"/>
      <c r="L34" s="16" t="n"/>
      <c r="M34" s="18" t="n"/>
      <c r="N34" s="18" t="n"/>
      <c r="O34" s="16" t="n"/>
      <c r="P34" s="18" t="n"/>
      <c r="Q34" s="18" t="n"/>
      <c r="R34" s="47">
        <f>IF(OR($P34="",$Q34=""),"",IF($Q34&lt;$P34,"",$Q34-$P34+1))</f>
        <v/>
      </c>
      <c r="S34" s="16" t="n"/>
      <c r="T34" s="16" t="n"/>
      <c r="U34" s="16" t="n"/>
      <c r="V34" s="16" t="n"/>
      <c r="W34" s="48" t="n"/>
      <c r="X34" s="16" t="n"/>
      <c r="Y34" s="48" t="n"/>
      <c r="Z34" s="16" t="n"/>
      <c r="AA34" s="16" t="n"/>
      <c r="AB34" s="16" t="n"/>
      <c r="AC34" s="49">
        <f>IF($A34="","",IF(AD34&gt;0,"未入力","CSV可"))</f>
        <v/>
      </c>
      <c r="AD34">
        <f>IF($A34="","",IF($A34="",1,0)+IF($B34="",1,0)+IF($C34="",1,0)+IF($D34="",1,0)+IF($E34="",1,0)+IF($F34="",1,0)+IF($G34="",1,0)+IF($H34="",1,0)+IF($I34="",1,0)+IF($L34="",1,0)+IF($M34="",1,0)+IF($N34="",1,0)+IF($O34="",1,0)+IF($P34="",1,0)+IF($Q34="",1,0)+IF($S34="",1,0)+IF($U34="",1,0)+IF($V34="",1,0)+IF($X34="",1,0)+IF($Z34="",1,0)+IF(AND($X34="あり",$Y34=""),1,0))</f>
        <v/>
      </c>
    </row>
    <row r="35">
      <c r="A35" s="16" t="n"/>
      <c r="B35" s="16" t="n"/>
      <c r="C35" s="18" t="n"/>
      <c r="D35" s="46" t="n"/>
      <c r="E35" s="46" t="n"/>
      <c r="F35" s="46" t="n"/>
      <c r="G35" s="46" t="n"/>
      <c r="H35" s="16" t="n"/>
      <c r="I35" s="16" t="n"/>
      <c r="J35" s="16" t="n"/>
      <c r="K35" s="16" t="n"/>
      <c r="L35" s="16" t="n"/>
      <c r="M35" s="18" t="n"/>
      <c r="N35" s="18" t="n"/>
      <c r="O35" s="16" t="n"/>
      <c r="P35" s="18" t="n"/>
      <c r="Q35" s="18" t="n"/>
      <c r="R35" s="47">
        <f>IF(OR($P35="",$Q35=""),"",IF($Q35&lt;$P35,"",$Q35-$P35+1))</f>
        <v/>
      </c>
      <c r="S35" s="16" t="n"/>
      <c r="T35" s="16" t="n"/>
      <c r="U35" s="16" t="n"/>
      <c r="V35" s="16" t="n"/>
      <c r="W35" s="48" t="n"/>
      <c r="X35" s="16" t="n"/>
      <c r="Y35" s="48" t="n"/>
      <c r="Z35" s="16" t="n"/>
      <c r="AA35" s="16" t="n"/>
      <c r="AB35" s="16" t="n"/>
      <c r="AC35" s="49">
        <f>IF($A35="","",IF(AD35&gt;0,"未入力","CSV可"))</f>
        <v/>
      </c>
      <c r="AD35">
        <f>IF($A35="","",IF($A35="",1,0)+IF($B35="",1,0)+IF($C35="",1,0)+IF($D35="",1,0)+IF($E35="",1,0)+IF($F35="",1,0)+IF($G35="",1,0)+IF($H35="",1,0)+IF($I35="",1,0)+IF($L35="",1,0)+IF($M35="",1,0)+IF($N35="",1,0)+IF($O35="",1,0)+IF($P35="",1,0)+IF($Q35="",1,0)+IF($S35="",1,0)+IF($U35="",1,0)+IF($V35="",1,0)+IF($X35="",1,0)+IF($Z35="",1,0)+IF(AND($X35="あり",$Y35=""),1,0))</f>
        <v/>
      </c>
    </row>
    <row r="36">
      <c r="A36" s="16" t="n"/>
      <c r="B36" s="16" t="n"/>
      <c r="C36" s="18" t="n"/>
      <c r="D36" s="46" t="n"/>
      <c r="E36" s="46" t="n"/>
      <c r="F36" s="46" t="n"/>
      <c r="G36" s="46" t="n"/>
      <c r="H36" s="16" t="n"/>
      <c r="I36" s="16" t="n"/>
      <c r="J36" s="16" t="n"/>
      <c r="K36" s="16" t="n"/>
      <c r="L36" s="16" t="n"/>
      <c r="M36" s="18" t="n"/>
      <c r="N36" s="18" t="n"/>
      <c r="O36" s="16" t="n"/>
      <c r="P36" s="18" t="n"/>
      <c r="Q36" s="18" t="n"/>
      <c r="R36" s="47">
        <f>IF(OR($P36="",$Q36=""),"",IF($Q36&lt;$P36,"",$Q36-$P36+1))</f>
        <v/>
      </c>
      <c r="S36" s="16" t="n"/>
      <c r="T36" s="16" t="n"/>
      <c r="U36" s="16" t="n"/>
      <c r="V36" s="16" t="n"/>
      <c r="W36" s="48" t="n"/>
      <c r="X36" s="16" t="n"/>
      <c r="Y36" s="48" t="n"/>
      <c r="Z36" s="16" t="n"/>
      <c r="AA36" s="16" t="n"/>
      <c r="AB36" s="16" t="n"/>
      <c r="AC36" s="49">
        <f>IF($A36="","",IF(AD36&gt;0,"未入力","CSV可"))</f>
        <v/>
      </c>
      <c r="AD36">
        <f>IF($A36="","",IF($A36="",1,0)+IF($B36="",1,0)+IF($C36="",1,0)+IF($D36="",1,0)+IF($E36="",1,0)+IF($F36="",1,0)+IF($G36="",1,0)+IF($H36="",1,0)+IF($I36="",1,0)+IF($L36="",1,0)+IF($M36="",1,0)+IF($N36="",1,0)+IF($O36="",1,0)+IF($P36="",1,0)+IF($Q36="",1,0)+IF($S36="",1,0)+IF($U36="",1,0)+IF($V36="",1,0)+IF($X36="",1,0)+IF($Z36="",1,0)+IF(AND($X36="あり",$Y36=""),1,0))</f>
        <v/>
      </c>
    </row>
    <row r="37">
      <c r="A37" s="16" t="n"/>
      <c r="B37" s="16" t="n"/>
      <c r="C37" s="18" t="n"/>
      <c r="D37" s="46" t="n"/>
      <c r="E37" s="46" t="n"/>
      <c r="F37" s="46" t="n"/>
      <c r="G37" s="46" t="n"/>
      <c r="H37" s="16" t="n"/>
      <c r="I37" s="16" t="n"/>
      <c r="J37" s="16" t="n"/>
      <c r="K37" s="16" t="n"/>
      <c r="L37" s="16" t="n"/>
      <c r="M37" s="18" t="n"/>
      <c r="N37" s="18" t="n"/>
      <c r="O37" s="16" t="n"/>
      <c r="P37" s="18" t="n"/>
      <c r="Q37" s="18" t="n"/>
      <c r="R37" s="47">
        <f>IF(OR($P37="",$Q37=""),"",IF($Q37&lt;$P37,"",$Q37-$P37+1))</f>
        <v/>
      </c>
      <c r="S37" s="16" t="n"/>
      <c r="T37" s="16" t="n"/>
      <c r="U37" s="16" t="n"/>
      <c r="V37" s="16" t="n"/>
      <c r="W37" s="48" t="n"/>
      <c r="X37" s="16" t="n"/>
      <c r="Y37" s="48" t="n"/>
      <c r="Z37" s="16" t="n"/>
      <c r="AA37" s="16" t="n"/>
      <c r="AB37" s="16" t="n"/>
      <c r="AC37" s="49">
        <f>IF($A37="","",IF(AD37&gt;0,"未入力","CSV可"))</f>
        <v/>
      </c>
      <c r="AD37">
        <f>IF($A37="","",IF($A37="",1,0)+IF($B37="",1,0)+IF($C37="",1,0)+IF($D37="",1,0)+IF($E37="",1,0)+IF($F37="",1,0)+IF($G37="",1,0)+IF($H37="",1,0)+IF($I37="",1,0)+IF($L37="",1,0)+IF($M37="",1,0)+IF($N37="",1,0)+IF($O37="",1,0)+IF($P37="",1,0)+IF($Q37="",1,0)+IF($S37="",1,0)+IF($U37="",1,0)+IF($V37="",1,0)+IF($X37="",1,0)+IF($Z37="",1,0)+IF(AND($X37="あり",$Y37=""),1,0))</f>
        <v/>
      </c>
    </row>
    <row r="38">
      <c r="A38" s="16" t="n"/>
      <c r="B38" s="16" t="n"/>
      <c r="C38" s="18" t="n"/>
      <c r="D38" s="46" t="n"/>
      <c r="E38" s="46" t="n"/>
      <c r="F38" s="46" t="n"/>
      <c r="G38" s="46" t="n"/>
      <c r="H38" s="16" t="n"/>
      <c r="I38" s="16" t="n"/>
      <c r="J38" s="16" t="n"/>
      <c r="K38" s="16" t="n"/>
      <c r="L38" s="16" t="n"/>
      <c r="M38" s="18" t="n"/>
      <c r="N38" s="18" t="n"/>
      <c r="O38" s="16" t="n"/>
      <c r="P38" s="18" t="n"/>
      <c r="Q38" s="18" t="n"/>
      <c r="R38" s="47">
        <f>IF(OR($P38="",$Q38=""),"",IF($Q38&lt;$P38,"",$Q38-$P38+1))</f>
        <v/>
      </c>
      <c r="S38" s="16" t="n"/>
      <c r="T38" s="16" t="n"/>
      <c r="U38" s="16" t="n"/>
      <c r="V38" s="16" t="n"/>
      <c r="W38" s="48" t="n"/>
      <c r="X38" s="16" t="n"/>
      <c r="Y38" s="48" t="n"/>
      <c r="Z38" s="16" t="n"/>
      <c r="AA38" s="16" t="n"/>
      <c r="AB38" s="16" t="n"/>
      <c r="AC38" s="49">
        <f>IF($A38="","",IF(AD38&gt;0,"未入力","CSV可"))</f>
        <v/>
      </c>
      <c r="AD38">
        <f>IF($A38="","",IF($A38="",1,0)+IF($B38="",1,0)+IF($C38="",1,0)+IF($D38="",1,0)+IF($E38="",1,0)+IF($F38="",1,0)+IF($G38="",1,0)+IF($H38="",1,0)+IF($I38="",1,0)+IF($L38="",1,0)+IF($M38="",1,0)+IF($N38="",1,0)+IF($O38="",1,0)+IF($P38="",1,0)+IF($Q38="",1,0)+IF($S38="",1,0)+IF($U38="",1,0)+IF($V38="",1,0)+IF($X38="",1,0)+IF($Z38="",1,0)+IF(AND($X38="あり",$Y38=""),1,0))</f>
        <v/>
      </c>
    </row>
    <row r="39">
      <c r="A39" s="16" t="n"/>
      <c r="B39" s="16" t="n"/>
      <c r="C39" s="18" t="n"/>
      <c r="D39" s="46" t="n"/>
      <c r="E39" s="46" t="n"/>
      <c r="F39" s="46" t="n"/>
      <c r="G39" s="46" t="n"/>
      <c r="H39" s="16" t="n"/>
      <c r="I39" s="16" t="n"/>
      <c r="J39" s="16" t="n"/>
      <c r="K39" s="16" t="n"/>
      <c r="L39" s="16" t="n"/>
      <c r="M39" s="18" t="n"/>
      <c r="N39" s="18" t="n"/>
      <c r="O39" s="16" t="n"/>
      <c r="P39" s="18" t="n"/>
      <c r="Q39" s="18" t="n"/>
      <c r="R39" s="47">
        <f>IF(OR($P39="",$Q39=""),"",IF($Q39&lt;$P39,"",$Q39-$P39+1))</f>
        <v/>
      </c>
      <c r="S39" s="16" t="n"/>
      <c r="T39" s="16" t="n"/>
      <c r="U39" s="16" t="n"/>
      <c r="V39" s="16" t="n"/>
      <c r="W39" s="48" t="n"/>
      <c r="X39" s="16" t="n"/>
      <c r="Y39" s="48" t="n"/>
      <c r="Z39" s="16" t="n"/>
      <c r="AA39" s="16" t="n"/>
      <c r="AB39" s="16" t="n"/>
      <c r="AC39" s="49">
        <f>IF($A39="","",IF(AD39&gt;0,"未入力","CSV可"))</f>
        <v/>
      </c>
      <c r="AD39">
        <f>IF($A39="","",IF($A39="",1,0)+IF($B39="",1,0)+IF($C39="",1,0)+IF($D39="",1,0)+IF($E39="",1,0)+IF($F39="",1,0)+IF($G39="",1,0)+IF($H39="",1,0)+IF($I39="",1,0)+IF($L39="",1,0)+IF($M39="",1,0)+IF($N39="",1,0)+IF($O39="",1,0)+IF($P39="",1,0)+IF($Q39="",1,0)+IF($S39="",1,0)+IF($U39="",1,0)+IF($V39="",1,0)+IF($X39="",1,0)+IF($Z39="",1,0)+IF(AND($X39="あり",$Y39=""),1,0))</f>
        <v/>
      </c>
    </row>
    <row r="40">
      <c r="A40" s="16" t="n"/>
      <c r="B40" s="16" t="n"/>
      <c r="C40" s="18" t="n"/>
      <c r="D40" s="46" t="n"/>
      <c r="E40" s="46" t="n"/>
      <c r="F40" s="46" t="n"/>
      <c r="G40" s="46" t="n"/>
      <c r="H40" s="16" t="n"/>
      <c r="I40" s="16" t="n"/>
      <c r="J40" s="16" t="n"/>
      <c r="K40" s="16" t="n"/>
      <c r="L40" s="16" t="n"/>
      <c r="M40" s="18" t="n"/>
      <c r="N40" s="18" t="n"/>
      <c r="O40" s="16" t="n"/>
      <c r="P40" s="18" t="n"/>
      <c r="Q40" s="18" t="n"/>
      <c r="R40" s="47">
        <f>IF(OR($P40="",$Q40=""),"",IF($Q40&lt;$P40,"",$Q40-$P40+1))</f>
        <v/>
      </c>
      <c r="S40" s="16" t="n"/>
      <c r="T40" s="16" t="n"/>
      <c r="U40" s="16" t="n"/>
      <c r="V40" s="16" t="n"/>
      <c r="W40" s="48" t="n"/>
      <c r="X40" s="16" t="n"/>
      <c r="Y40" s="48" t="n"/>
      <c r="Z40" s="16" t="n"/>
      <c r="AA40" s="16" t="n"/>
      <c r="AB40" s="16" t="n"/>
      <c r="AC40" s="49">
        <f>IF($A40="","",IF(AD40&gt;0,"未入力","CSV可"))</f>
        <v/>
      </c>
      <c r="AD40">
        <f>IF($A40="","",IF($A40="",1,0)+IF($B40="",1,0)+IF($C40="",1,0)+IF($D40="",1,0)+IF($E40="",1,0)+IF($F40="",1,0)+IF($G40="",1,0)+IF($H40="",1,0)+IF($I40="",1,0)+IF($L40="",1,0)+IF($M40="",1,0)+IF($N40="",1,0)+IF($O40="",1,0)+IF($P40="",1,0)+IF($Q40="",1,0)+IF($S40="",1,0)+IF($U40="",1,0)+IF($V40="",1,0)+IF($X40="",1,0)+IF($Z40="",1,0)+IF(AND($X40="あり",$Y40=""),1,0))</f>
        <v/>
      </c>
    </row>
    <row r="41">
      <c r="A41" s="16" t="n"/>
      <c r="B41" s="16" t="n"/>
      <c r="C41" s="18" t="n"/>
      <c r="D41" s="46" t="n"/>
      <c r="E41" s="46" t="n"/>
      <c r="F41" s="46" t="n"/>
      <c r="G41" s="46" t="n"/>
      <c r="H41" s="16" t="n"/>
      <c r="I41" s="16" t="n"/>
      <c r="J41" s="16" t="n"/>
      <c r="K41" s="16" t="n"/>
      <c r="L41" s="16" t="n"/>
      <c r="M41" s="18" t="n"/>
      <c r="N41" s="18" t="n"/>
      <c r="O41" s="16" t="n"/>
      <c r="P41" s="18" t="n"/>
      <c r="Q41" s="18" t="n"/>
      <c r="R41" s="47">
        <f>IF(OR($P41="",$Q41=""),"",IF($Q41&lt;$P41,"",$Q41-$P41+1))</f>
        <v/>
      </c>
      <c r="S41" s="16" t="n"/>
      <c r="T41" s="16" t="n"/>
      <c r="U41" s="16" t="n"/>
      <c r="V41" s="16" t="n"/>
      <c r="W41" s="48" t="n"/>
      <c r="X41" s="16" t="n"/>
      <c r="Y41" s="48" t="n"/>
      <c r="Z41" s="16" t="n"/>
      <c r="AA41" s="16" t="n"/>
      <c r="AB41" s="16" t="n"/>
      <c r="AC41" s="49">
        <f>IF($A41="","",IF(AD41&gt;0,"未入力","CSV可"))</f>
        <v/>
      </c>
      <c r="AD41">
        <f>IF($A41="","",IF($A41="",1,0)+IF($B41="",1,0)+IF($C41="",1,0)+IF($D41="",1,0)+IF($E41="",1,0)+IF($F41="",1,0)+IF($G41="",1,0)+IF($H41="",1,0)+IF($I41="",1,0)+IF($L41="",1,0)+IF($M41="",1,0)+IF($N41="",1,0)+IF($O41="",1,0)+IF($P41="",1,0)+IF($Q41="",1,0)+IF($S41="",1,0)+IF($U41="",1,0)+IF($V41="",1,0)+IF($X41="",1,0)+IF($Z41="",1,0)+IF(AND($X41="あり",$Y41=""),1,0))</f>
        <v/>
      </c>
    </row>
    <row r="42">
      <c r="A42" s="16" t="n"/>
      <c r="B42" s="16" t="n"/>
      <c r="C42" s="18" t="n"/>
      <c r="D42" s="46" t="n"/>
      <c r="E42" s="46" t="n"/>
      <c r="F42" s="46" t="n"/>
      <c r="G42" s="46" t="n"/>
      <c r="H42" s="16" t="n"/>
      <c r="I42" s="16" t="n"/>
      <c r="J42" s="16" t="n"/>
      <c r="K42" s="16" t="n"/>
      <c r="L42" s="16" t="n"/>
      <c r="M42" s="18" t="n"/>
      <c r="N42" s="18" t="n"/>
      <c r="O42" s="16" t="n"/>
      <c r="P42" s="18" t="n"/>
      <c r="Q42" s="18" t="n"/>
      <c r="R42" s="47">
        <f>IF(OR($P42="",$Q42=""),"",IF($Q42&lt;$P42,"",$Q42-$P42+1))</f>
        <v/>
      </c>
      <c r="S42" s="16" t="n"/>
      <c r="T42" s="16" t="n"/>
      <c r="U42" s="16" t="n"/>
      <c r="V42" s="16" t="n"/>
      <c r="W42" s="48" t="n"/>
      <c r="X42" s="16" t="n"/>
      <c r="Y42" s="48" t="n"/>
      <c r="Z42" s="16" t="n"/>
      <c r="AA42" s="16" t="n"/>
      <c r="AB42" s="16" t="n"/>
      <c r="AC42" s="49">
        <f>IF($A42="","",IF(AD42&gt;0,"未入力","CSV可"))</f>
        <v/>
      </c>
      <c r="AD42">
        <f>IF($A42="","",IF($A42="",1,0)+IF($B42="",1,0)+IF($C42="",1,0)+IF($D42="",1,0)+IF($E42="",1,0)+IF($F42="",1,0)+IF($G42="",1,0)+IF($H42="",1,0)+IF($I42="",1,0)+IF($L42="",1,0)+IF($M42="",1,0)+IF($N42="",1,0)+IF($O42="",1,0)+IF($P42="",1,0)+IF($Q42="",1,0)+IF($S42="",1,0)+IF($U42="",1,0)+IF($V42="",1,0)+IF($X42="",1,0)+IF($Z42="",1,0)+IF(AND($X42="あり",$Y42=""),1,0))</f>
        <v/>
      </c>
    </row>
    <row r="43">
      <c r="A43" s="16" t="n"/>
      <c r="B43" s="16" t="n"/>
      <c r="C43" s="18" t="n"/>
      <c r="D43" s="46" t="n"/>
      <c r="E43" s="46" t="n"/>
      <c r="F43" s="46" t="n"/>
      <c r="G43" s="46" t="n"/>
      <c r="H43" s="16" t="n"/>
      <c r="I43" s="16" t="n"/>
      <c r="J43" s="16" t="n"/>
      <c r="K43" s="16" t="n"/>
      <c r="L43" s="16" t="n"/>
      <c r="M43" s="18" t="n"/>
      <c r="N43" s="18" t="n"/>
      <c r="O43" s="16" t="n"/>
      <c r="P43" s="18" t="n"/>
      <c r="Q43" s="18" t="n"/>
      <c r="R43" s="47">
        <f>IF(OR($P43="",$Q43=""),"",IF($Q43&lt;$P43,"",$Q43-$P43+1))</f>
        <v/>
      </c>
      <c r="S43" s="16" t="n"/>
      <c r="T43" s="16" t="n"/>
      <c r="U43" s="16" t="n"/>
      <c r="V43" s="16" t="n"/>
      <c r="W43" s="48" t="n"/>
      <c r="X43" s="16" t="n"/>
      <c r="Y43" s="48" t="n"/>
      <c r="Z43" s="16" t="n"/>
      <c r="AA43" s="16" t="n"/>
      <c r="AB43" s="16" t="n"/>
      <c r="AC43" s="49">
        <f>IF($A43="","",IF(AD43&gt;0,"未入力","CSV可"))</f>
        <v/>
      </c>
      <c r="AD43">
        <f>IF($A43="","",IF($A43="",1,0)+IF($B43="",1,0)+IF($C43="",1,0)+IF($D43="",1,0)+IF($E43="",1,0)+IF($F43="",1,0)+IF($G43="",1,0)+IF($H43="",1,0)+IF($I43="",1,0)+IF($L43="",1,0)+IF($M43="",1,0)+IF($N43="",1,0)+IF($O43="",1,0)+IF($P43="",1,0)+IF($Q43="",1,0)+IF($S43="",1,0)+IF($U43="",1,0)+IF($V43="",1,0)+IF($X43="",1,0)+IF($Z43="",1,0)+IF(AND($X43="あり",$Y43=""),1,0))</f>
        <v/>
      </c>
    </row>
    <row r="44">
      <c r="A44" s="16" t="n"/>
      <c r="B44" s="16" t="n"/>
      <c r="C44" s="18" t="n"/>
      <c r="D44" s="46" t="n"/>
      <c r="E44" s="46" t="n"/>
      <c r="F44" s="46" t="n"/>
      <c r="G44" s="46" t="n"/>
      <c r="H44" s="16" t="n"/>
      <c r="I44" s="16" t="n"/>
      <c r="J44" s="16" t="n"/>
      <c r="K44" s="16" t="n"/>
      <c r="L44" s="16" t="n"/>
      <c r="M44" s="18" t="n"/>
      <c r="N44" s="18" t="n"/>
      <c r="O44" s="16" t="n"/>
      <c r="P44" s="18" t="n"/>
      <c r="Q44" s="18" t="n"/>
      <c r="R44" s="47">
        <f>IF(OR($P44="",$Q44=""),"",IF($Q44&lt;$P44,"",$Q44-$P44+1))</f>
        <v/>
      </c>
      <c r="S44" s="16" t="n"/>
      <c r="T44" s="16" t="n"/>
      <c r="U44" s="16" t="n"/>
      <c r="V44" s="16" t="n"/>
      <c r="W44" s="48" t="n"/>
      <c r="X44" s="16" t="n"/>
      <c r="Y44" s="48" t="n"/>
      <c r="Z44" s="16" t="n"/>
      <c r="AA44" s="16" t="n"/>
      <c r="AB44" s="16" t="n"/>
      <c r="AC44" s="49">
        <f>IF($A44="","",IF(AD44&gt;0,"未入力","CSV可"))</f>
        <v/>
      </c>
      <c r="AD44">
        <f>IF($A44="","",IF($A44="",1,0)+IF($B44="",1,0)+IF($C44="",1,0)+IF($D44="",1,0)+IF($E44="",1,0)+IF($F44="",1,0)+IF($G44="",1,0)+IF($H44="",1,0)+IF($I44="",1,0)+IF($L44="",1,0)+IF($M44="",1,0)+IF($N44="",1,0)+IF($O44="",1,0)+IF($P44="",1,0)+IF($Q44="",1,0)+IF($S44="",1,0)+IF($U44="",1,0)+IF($V44="",1,0)+IF($X44="",1,0)+IF($Z44="",1,0)+IF(AND($X44="あり",$Y44=""),1,0))</f>
        <v/>
      </c>
    </row>
    <row r="45">
      <c r="A45" s="16" t="n"/>
      <c r="B45" s="16" t="n"/>
      <c r="C45" s="18" t="n"/>
      <c r="D45" s="46" t="n"/>
      <c r="E45" s="46" t="n"/>
      <c r="F45" s="46" t="n"/>
      <c r="G45" s="46" t="n"/>
      <c r="H45" s="16" t="n"/>
      <c r="I45" s="16" t="n"/>
      <c r="J45" s="16" t="n"/>
      <c r="K45" s="16" t="n"/>
      <c r="L45" s="16" t="n"/>
      <c r="M45" s="18" t="n"/>
      <c r="N45" s="18" t="n"/>
      <c r="O45" s="16" t="n"/>
      <c r="P45" s="18" t="n"/>
      <c r="Q45" s="18" t="n"/>
      <c r="R45" s="47">
        <f>IF(OR($P45="",$Q45=""),"",IF($Q45&lt;$P45,"",$Q45-$P45+1))</f>
        <v/>
      </c>
      <c r="S45" s="16" t="n"/>
      <c r="T45" s="16" t="n"/>
      <c r="U45" s="16" t="n"/>
      <c r="V45" s="16" t="n"/>
      <c r="W45" s="48" t="n"/>
      <c r="X45" s="16" t="n"/>
      <c r="Y45" s="48" t="n"/>
      <c r="Z45" s="16" t="n"/>
      <c r="AA45" s="16" t="n"/>
      <c r="AB45" s="16" t="n"/>
      <c r="AC45" s="49">
        <f>IF($A45="","",IF(AD45&gt;0,"未入力","CSV可"))</f>
        <v/>
      </c>
      <c r="AD45">
        <f>IF($A45="","",IF($A45="",1,0)+IF($B45="",1,0)+IF($C45="",1,0)+IF($D45="",1,0)+IF($E45="",1,0)+IF($F45="",1,0)+IF($G45="",1,0)+IF($H45="",1,0)+IF($I45="",1,0)+IF($L45="",1,0)+IF($M45="",1,0)+IF($N45="",1,0)+IF($O45="",1,0)+IF($P45="",1,0)+IF($Q45="",1,0)+IF($S45="",1,0)+IF($U45="",1,0)+IF($V45="",1,0)+IF($X45="",1,0)+IF($Z45="",1,0)+IF(AND($X45="あり",$Y45=""),1,0))</f>
        <v/>
      </c>
    </row>
    <row r="46">
      <c r="A46" s="16" t="n"/>
      <c r="B46" s="16" t="n"/>
      <c r="C46" s="18" t="n"/>
      <c r="D46" s="46" t="n"/>
      <c r="E46" s="46" t="n"/>
      <c r="F46" s="46" t="n"/>
      <c r="G46" s="46" t="n"/>
      <c r="H46" s="16" t="n"/>
      <c r="I46" s="16" t="n"/>
      <c r="J46" s="16" t="n"/>
      <c r="K46" s="16" t="n"/>
      <c r="L46" s="16" t="n"/>
      <c r="M46" s="18" t="n"/>
      <c r="N46" s="18" t="n"/>
      <c r="O46" s="16" t="n"/>
      <c r="P46" s="18" t="n"/>
      <c r="Q46" s="18" t="n"/>
      <c r="R46" s="47">
        <f>IF(OR($P46="",$Q46=""),"",IF($Q46&lt;$P46,"",$Q46-$P46+1))</f>
        <v/>
      </c>
      <c r="S46" s="16" t="n"/>
      <c r="T46" s="16" t="n"/>
      <c r="U46" s="16" t="n"/>
      <c r="V46" s="16" t="n"/>
      <c r="W46" s="48" t="n"/>
      <c r="X46" s="16" t="n"/>
      <c r="Y46" s="48" t="n"/>
      <c r="Z46" s="16" t="n"/>
      <c r="AA46" s="16" t="n"/>
      <c r="AB46" s="16" t="n"/>
      <c r="AC46" s="49">
        <f>IF($A46="","",IF(AD46&gt;0,"未入力","CSV可"))</f>
        <v/>
      </c>
      <c r="AD46">
        <f>IF($A46="","",IF($A46="",1,0)+IF($B46="",1,0)+IF($C46="",1,0)+IF($D46="",1,0)+IF($E46="",1,0)+IF($F46="",1,0)+IF($G46="",1,0)+IF($H46="",1,0)+IF($I46="",1,0)+IF($L46="",1,0)+IF($M46="",1,0)+IF($N46="",1,0)+IF($O46="",1,0)+IF($P46="",1,0)+IF($Q46="",1,0)+IF($S46="",1,0)+IF($U46="",1,0)+IF($V46="",1,0)+IF($X46="",1,0)+IF($Z46="",1,0)+IF(AND($X46="あり",$Y46=""),1,0))</f>
        <v/>
      </c>
    </row>
    <row r="47">
      <c r="A47" s="16" t="n"/>
      <c r="B47" s="16" t="n"/>
      <c r="C47" s="18" t="n"/>
      <c r="D47" s="46" t="n"/>
      <c r="E47" s="46" t="n"/>
      <c r="F47" s="46" t="n"/>
      <c r="G47" s="46" t="n"/>
      <c r="H47" s="16" t="n"/>
      <c r="I47" s="16" t="n"/>
      <c r="J47" s="16" t="n"/>
      <c r="K47" s="16" t="n"/>
      <c r="L47" s="16" t="n"/>
      <c r="M47" s="18" t="n"/>
      <c r="N47" s="18" t="n"/>
      <c r="O47" s="16" t="n"/>
      <c r="P47" s="18" t="n"/>
      <c r="Q47" s="18" t="n"/>
      <c r="R47" s="47">
        <f>IF(OR($P47="",$Q47=""),"",IF($Q47&lt;$P47,"",$Q47-$P47+1))</f>
        <v/>
      </c>
      <c r="S47" s="16" t="n"/>
      <c r="T47" s="16" t="n"/>
      <c r="U47" s="16" t="n"/>
      <c r="V47" s="16" t="n"/>
      <c r="W47" s="48" t="n"/>
      <c r="X47" s="16" t="n"/>
      <c r="Y47" s="48" t="n"/>
      <c r="Z47" s="16" t="n"/>
      <c r="AA47" s="16" t="n"/>
      <c r="AB47" s="16" t="n"/>
      <c r="AC47" s="49">
        <f>IF($A47="","",IF(AD47&gt;0,"未入力","CSV可"))</f>
        <v/>
      </c>
      <c r="AD47">
        <f>IF($A47="","",IF($A47="",1,0)+IF($B47="",1,0)+IF($C47="",1,0)+IF($D47="",1,0)+IF($E47="",1,0)+IF($F47="",1,0)+IF($G47="",1,0)+IF($H47="",1,0)+IF($I47="",1,0)+IF($L47="",1,0)+IF($M47="",1,0)+IF($N47="",1,0)+IF($O47="",1,0)+IF($P47="",1,0)+IF($Q47="",1,0)+IF($S47="",1,0)+IF($U47="",1,0)+IF($V47="",1,0)+IF($X47="",1,0)+IF($Z47="",1,0)+IF(AND($X47="あり",$Y47=""),1,0))</f>
        <v/>
      </c>
    </row>
    <row r="48">
      <c r="A48" s="16" t="n"/>
      <c r="B48" s="16" t="n"/>
      <c r="C48" s="18" t="n"/>
      <c r="D48" s="46" t="n"/>
      <c r="E48" s="46" t="n"/>
      <c r="F48" s="46" t="n"/>
      <c r="G48" s="46" t="n"/>
      <c r="H48" s="16" t="n"/>
      <c r="I48" s="16" t="n"/>
      <c r="J48" s="16" t="n"/>
      <c r="K48" s="16" t="n"/>
      <c r="L48" s="16" t="n"/>
      <c r="M48" s="18" t="n"/>
      <c r="N48" s="18" t="n"/>
      <c r="O48" s="16" t="n"/>
      <c r="P48" s="18" t="n"/>
      <c r="Q48" s="18" t="n"/>
      <c r="R48" s="47">
        <f>IF(OR($P48="",$Q48=""),"",IF($Q48&lt;$P48,"",$Q48-$P48+1))</f>
        <v/>
      </c>
      <c r="S48" s="16" t="n"/>
      <c r="T48" s="16" t="n"/>
      <c r="U48" s="16" t="n"/>
      <c r="V48" s="16" t="n"/>
      <c r="W48" s="48" t="n"/>
      <c r="X48" s="16" t="n"/>
      <c r="Y48" s="48" t="n"/>
      <c r="Z48" s="16" t="n"/>
      <c r="AA48" s="16" t="n"/>
      <c r="AB48" s="16" t="n"/>
      <c r="AC48" s="49">
        <f>IF($A48="","",IF(AD48&gt;0,"未入力","CSV可"))</f>
        <v/>
      </c>
      <c r="AD48">
        <f>IF($A48="","",IF($A48="",1,0)+IF($B48="",1,0)+IF($C48="",1,0)+IF($D48="",1,0)+IF($E48="",1,0)+IF($F48="",1,0)+IF($G48="",1,0)+IF($H48="",1,0)+IF($I48="",1,0)+IF($L48="",1,0)+IF($M48="",1,0)+IF($N48="",1,0)+IF($O48="",1,0)+IF($P48="",1,0)+IF($Q48="",1,0)+IF($S48="",1,0)+IF($U48="",1,0)+IF($V48="",1,0)+IF($X48="",1,0)+IF($Z48="",1,0)+IF(AND($X48="あり",$Y48=""),1,0))</f>
        <v/>
      </c>
    </row>
    <row r="49">
      <c r="A49" s="16" t="n"/>
      <c r="B49" s="16" t="n"/>
      <c r="C49" s="18" t="n"/>
      <c r="D49" s="46" t="n"/>
      <c r="E49" s="46" t="n"/>
      <c r="F49" s="46" t="n"/>
      <c r="G49" s="46" t="n"/>
      <c r="H49" s="16" t="n"/>
      <c r="I49" s="16" t="n"/>
      <c r="J49" s="16" t="n"/>
      <c r="K49" s="16" t="n"/>
      <c r="L49" s="16" t="n"/>
      <c r="M49" s="18" t="n"/>
      <c r="N49" s="18" t="n"/>
      <c r="O49" s="16" t="n"/>
      <c r="P49" s="18" t="n"/>
      <c r="Q49" s="18" t="n"/>
      <c r="R49" s="47">
        <f>IF(OR($P49="",$Q49=""),"",IF($Q49&lt;$P49,"",$Q49-$P49+1))</f>
        <v/>
      </c>
      <c r="S49" s="16" t="n"/>
      <c r="T49" s="16" t="n"/>
      <c r="U49" s="16" t="n"/>
      <c r="V49" s="16" t="n"/>
      <c r="W49" s="48" t="n"/>
      <c r="X49" s="16" t="n"/>
      <c r="Y49" s="48" t="n"/>
      <c r="Z49" s="16" t="n"/>
      <c r="AA49" s="16" t="n"/>
      <c r="AB49" s="16" t="n"/>
      <c r="AC49" s="49">
        <f>IF($A49="","",IF(AD49&gt;0,"未入力","CSV可"))</f>
        <v/>
      </c>
      <c r="AD49">
        <f>IF($A49="","",IF($A49="",1,0)+IF($B49="",1,0)+IF($C49="",1,0)+IF($D49="",1,0)+IF($E49="",1,0)+IF($F49="",1,0)+IF($G49="",1,0)+IF($H49="",1,0)+IF($I49="",1,0)+IF($L49="",1,0)+IF($M49="",1,0)+IF($N49="",1,0)+IF($O49="",1,0)+IF($P49="",1,0)+IF($Q49="",1,0)+IF($S49="",1,0)+IF($U49="",1,0)+IF($V49="",1,0)+IF($X49="",1,0)+IF($Z49="",1,0)+IF(AND($X49="あり",$Y49=""),1,0))</f>
        <v/>
      </c>
    </row>
    <row r="50">
      <c r="A50" s="16" t="n"/>
      <c r="B50" s="16" t="n"/>
      <c r="C50" s="18" t="n"/>
      <c r="D50" s="46" t="n"/>
      <c r="E50" s="46" t="n"/>
      <c r="F50" s="46" t="n"/>
      <c r="G50" s="46" t="n"/>
      <c r="H50" s="16" t="n"/>
      <c r="I50" s="16" t="n"/>
      <c r="J50" s="16" t="n"/>
      <c r="K50" s="16" t="n"/>
      <c r="L50" s="16" t="n"/>
      <c r="M50" s="18" t="n"/>
      <c r="N50" s="18" t="n"/>
      <c r="O50" s="16" t="n"/>
      <c r="P50" s="18" t="n"/>
      <c r="Q50" s="18" t="n"/>
      <c r="R50" s="47">
        <f>IF(OR($P50="",$Q50=""),"",IF($Q50&lt;$P50,"",$Q50-$P50+1))</f>
        <v/>
      </c>
      <c r="S50" s="16" t="n"/>
      <c r="T50" s="16" t="n"/>
      <c r="U50" s="16" t="n"/>
      <c r="V50" s="16" t="n"/>
      <c r="W50" s="48" t="n"/>
      <c r="X50" s="16" t="n"/>
      <c r="Y50" s="48" t="n"/>
      <c r="Z50" s="16" t="n"/>
      <c r="AA50" s="16" t="n"/>
      <c r="AB50" s="16" t="n"/>
      <c r="AC50" s="49">
        <f>IF($A50="","",IF(AD50&gt;0,"未入力","CSV可"))</f>
        <v/>
      </c>
      <c r="AD50">
        <f>IF($A50="","",IF($A50="",1,0)+IF($B50="",1,0)+IF($C50="",1,0)+IF($D50="",1,0)+IF($E50="",1,0)+IF($F50="",1,0)+IF($G50="",1,0)+IF($H50="",1,0)+IF($I50="",1,0)+IF($L50="",1,0)+IF($M50="",1,0)+IF($N50="",1,0)+IF($O50="",1,0)+IF($P50="",1,0)+IF($Q50="",1,0)+IF($S50="",1,0)+IF($U50="",1,0)+IF($V50="",1,0)+IF($X50="",1,0)+IF($Z50="",1,0)+IF(AND($X50="あり",$Y50=""),1,0))</f>
        <v/>
      </c>
    </row>
    <row r="51">
      <c r="A51" s="16" t="n"/>
      <c r="B51" s="16" t="n"/>
      <c r="C51" s="18" t="n"/>
      <c r="D51" s="46" t="n"/>
      <c r="E51" s="46" t="n"/>
      <c r="F51" s="46" t="n"/>
      <c r="G51" s="46" t="n"/>
      <c r="H51" s="16" t="n"/>
      <c r="I51" s="16" t="n"/>
      <c r="J51" s="16" t="n"/>
      <c r="K51" s="16" t="n"/>
      <c r="L51" s="16" t="n"/>
      <c r="M51" s="18" t="n"/>
      <c r="N51" s="18" t="n"/>
      <c r="O51" s="16" t="n"/>
      <c r="P51" s="18" t="n"/>
      <c r="Q51" s="18" t="n"/>
      <c r="R51" s="47">
        <f>IF(OR($P51="",$Q51=""),"",IF($Q51&lt;$P51,"",$Q51-$P51+1))</f>
        <v/>
      </c>
      <c r="S51" s="16" t="n"/>
      <c r="T51" s="16" t="n"/>
      <c r="U51" s="16" t="n"/>
      <c r="V51" s="16" t="n"/>
      <c r="W51" s="48" t="n"/>
      <c r="X51" s="16" t="n"/>
      <c r="Y51" s="48" t="n"/>
      <c r="Z51" s="16" t="n"/>
      <c r="AA51" s="16" t="n"/>
      <c r="AB51" s="16" t="n"/>
      <c r="AC51" s="49">
        <f>IF($A51="","",IF(AD51&gt;0,"未入力","CSV可"))</f>
        <v/>
      </c>
      <c r="AD51">
        <f>IF($A51="","",IF($A51="",1,0)+IF($B51="",1,0)+IF($C51="",1,0)+IF($D51="",1,0)+IF($E51="",1,0)+IF($F51="",1,0)+IF($G51="",1,0)+IF($H51="",1,0)+IF($I51="",1,0)+IF($L51="",1,0)+IF($M51="",1,0)+IF($N51="",1,0)+IF($O51="",1,0)+IF($P51="",1,0)+IF($Q51="",1,0)+IF($S51="",1,0)+IF($U51="",1,0)+IF($V51="",1,0)+IF($X51="",1,0)+IF($Z51="",1,0)+IF(AND($X51="あり",$Y51=""),1,0))</f>
        <v/>
      </c>
    </row>
    <row r="52">
      <c r="A52" s="16" t="n"/>
      <c r="B52" s="16" t="n"/>
      <c r="C52" s="18" t="n"/>
      <c r="D52" s="46" t="n"/>
      <c r="E52" s="46" t="n"/>
      <c r="F52" s="46" t="n"/>
      <c r="G52" s="46" t="n"/>
      <c r="H52" s="16" t="n"/>
      <c r="I52" s="16" t="n"/>
      <c r="J52" s="16" t="n"/>
      <c r="K52" s="16" t="n"/>
      <c r="L52" s="16" t="n"/>
      <c r="M52" s="18" t="n"/>
      <c r="N52" s="18" t="n"/>
      <c r="O52" s="16" t="n"/>
      <c r="P52" s="18" t="n"/>
      <c r="Q52" s="18" t="n"/>
      <c r="R52" s="47">
        <f>IF(OR($P52="",$Q52=""),"",IF($Q52&lt;$P52,"",$Q52-$P52+1))</f>
        <v/>
      </c>
      <c r="S52" s="16" t="n"/>
      <c r="T52" s="16" t="n"/>
      <c r="U52" s="16" t="n"/>
      <c r="V52" s="16" t="n"/>
      <c r="W52" s="48" t="n"/>
      <c r="X52" s="16" t="n"/>
      <c r="Y52" s="48" t="n"/>
      <c r="Z52" s="16" t="n"/>
      <c r="AA52" s="16" t="n"/>
      <c r="AB52" s="16" t="n"/>
      <c r="AC52" s="49">
        <f>IF($A52="","",IF(AD52&gt;0,"未入力","CSV可"))</f>
        <v/>
      </c>
      <c r="AD52">
        <f>IF($A52="","",IF($A52="",1,0)+IF($B52="",1,0)+IF($C52="",1,0)+IF($D52="",1,0)+IF($E52="",1,0)+IF($F52="",1,0)+IF($G52="",1,0)+IF($H52="",1,0)+IF($I52="",1,0)+IF($L52="",1,0)+IF($M52="",1,0)+IF($N52="",1,0)+IF($O52="",1,0)+IF($P52="",1,0)+IF($Q52="",1,0)+IF($S52="",1,0)+IF($U52="",1,0)+IF($V52="",1,0)+IF($X52="",1,0)+IF($Z52="",1,0)+IF(AND($X52="あり",$Y52=""),1,0))</f>
        <v/>
      </c>
    </row>
    <row r="53">
      <c r="A53" s="16" t="n"/>
      <c r="B53" s="16" t="n"/>
      <c r="C53" s="18" t="n"/>
      <c r="D53" s="46" t="n"/>
      <c r="E53" s="46" t="n"/>
      <c r="F53" s="46" t="n"/>
      <c r="G53" s="46" t="n"/>
      <c r="H53" s="16" t="n"/>
      <c r="I53" s="16" t="n"/>
      <c r="J53" s="16" t="n"/>
      <c r="K53" s="16" t="n"/>
      <c r="L53" s="16" t="n"/>
      <c r="M53" s="18" t="n"/>
      <c r="N53" s="18" t="n"/>
      <c r="O53" s="16" t="n"/>
      <c r="P53" s="18" t="n"/>
      <c r="Q53" s="18" t="n"/>
      <c r="R53" s="47">
        <f>IF(OR($P53="",$Q53=""),"",IF($Q53&lt;$P53,"",$Q53-$P53+1))</f>
        <v/>
      </c>
      <c r="S53" s="16" t="n"/>
      <c r="T53" s="16" t="n"/>
      <c r="U53" s="16" t="n"/>
      <c r="V53" s="16" t="n"/>
      <c r="W53" s="48" t="n"/>
      <c r="X53" s="16" t="n"/>
      <c r="Y53" s="48" t="n"/>
      <c r="Z53" s="16" t="n"/>
      <c r="AA53" s="16" t="n"/>
      <c r="AB53" s="16" t="n"/>
      <c r="AC53" s="49">
        <f>IF($A53="","",IF(AD53&gt;0,"未入力","CSV可"))</f>
        <v/>
      </c>
      <c r="AD53">
        <f>IF($A53="","",IF($A53="",1,0)+IF($B53="",1,0)+IF($C53="",1,0)+IF($D53="",1,0)+IF($E53="",1,0)+IF($F53="",1,0)+IF($G53="",1,0)+IF($H53="",1,0)+IF($I53="",1,0)+IF($L53="",1,0)+IF($M53="",1,0)+IF($N53="",1,0)+IF($O53="",1,0)+IF($P53="",1,0)+IF($Q53="",1,0)+IF($S53="",1,0)+IF($U53="",1,0)+IF($V53="",1,0)+IF($X53="",1,0)+IF($Z53="",1,0)+IF(AND($X53="あり",$Y53=""),1,0))</f>
        <v/>
      </c>
    </row>
    <row r="54">
      <c r="A54" s="16" t="n"/>
      <c r="B54" s="16" t="n"/>
      <c r="C54" s="18" t="n"/>
      <c r="D54" s="46" t="n"/>
      <c r="E54" s="46" t="n"/>
      <c r="F54" s="46" t="n"/>
      <c r="G54" s="46" t="n"/>
      <c r="H54" s="16" t="n"/>
      <c r="I54" s="16" t="n"/>
      <c r="J54" s="16" t="n"/>
      <c r="K54" s="16" t="n"/>
      <c r="L54" s="16" t="n"/>
      <c r="M54" s="18" t="n"/>
      <c r="N54" s="18" t="n"/>
      <c r="O54" s="16" t="n"/>
      <c r="P54" s="18" t="n"/>
      <c r="Q54" s="18" t="n"/>
      <c r="R54" s="47">
        <f>IF(OR($P54="",$Q54=""),"",IF($Q54&lt;$P54,"",$Q54-$P54+1))</f>
        <v/>
      </c>
      <c r="S54" s="16" t="n"/>
      <c r="T54" s="16" t="n"/>
      <c r="U54" s="16" t="n"/>
      <c r="V54" s="16" t="n"/>
      <c r="W54" s="48" t="n"/>
      <c r="X54" s="16" t="n"/>
      <c r="Y54" s="48" t="n"/>
      <c r="Z54" s="16" t="n"/>
      <c r="AA54" s="16" t="n"/>
      <c r="AB54" s="16" t="n"/>
      <c r="AC54" s="49">
        <f>IF($A54="","",IF(AD54&gt;0,"未入力","CSV可"))</f>
        <v/>
      </c>
      <c r="AD54">
        <f>IF($A54="","",IF($A54="",1,0)+IF($B54="",1,0)+IF($C54="",1,0)+IF($D54="",1,0)+IF($E54="",1,0)+IF($F54="",1,0)+IF($G54="",1,0)+IF($H54="",1,0)+IF($I54="",1,0)+IF($L54="",1,0)+IF($M54="",1,0)+IF($N54="",1,0)+IF($O54="",1,0)+IF($P54="",1,0)+IF($Q54="",1,0)+IF($S54="",1,0)+IF($U54="",1,0)+IF($V54="",1,0)+IF($X54="",1,0)+IF($Z54="",1,0)+IF(AND($X54="あり",$Y54=""),1,0))</f>
        <v/>
      </c>
    </row>
    <row r="55">
      <c r="A55" s="16" t="n"/>
      <c r="B55" s="16" t="n"/>
      <c r="C55" s="18" t="n"/>
      <c r="D55" s="46" t="n"/>
      <c r="E55" s="46" t="n"/>
      <c r="F55" s="46" t="n"/>
      <c r="G55" s="46" t="n"/>
      <c r="H55" s="16" t="n"/>
      <c r="I55" s="16" t="n"/>
      <c r="J55" s="16" t="n"/>
      <c r="K55" s="16" t="n"/>
      <c r="L55" s="16" t="n"/>
      <c r="M55" s="18" t="n"/>
      <c r="N55" s="18" t="n"/>
      <c r="O55" s="16" t="n"/>
      <c r="P55" s="18" t="n"/>
      <c r="Q55" s="18" t="n"/>
      <c r="R55" s="47">
        <f>IF(OR($P55="",$Q55=""),"",IF($Q55&lt;$P55,"",$Q55-$P55+1))</f>
        <v/>
      </c>
      <c r="S55" s="16" t="n"/>
      <c r="T55" s="16" t="n"/>
      <c r="U55" s="16" t="n"/>
      <c r="V55" s="16" t="n"/>
      <c r="W55" s="48" t="n"/>
      <c r="X55" s="16" t="n"/>
      <c r="Y55" s="48" t="n"/>
      <c r="Z55" s="16" t="n"/>
      <c r="AA55" s="16" t="n"/>
      <c r="AB55" s="16" t="n"/>
      <c r="AC55" s="49">
        <f>IF($A55="","",IF(AD55&gt;0,"未入力","CSV可"))</f>
        <v/>
      </c>
      <c r="AD55">
        <f>IF($A55="","",IF($A55="",1,0)+IF($B55="",1,0)+IF($C55="",1,0)+IF($D55="",1,0)+IF($E55="",1,0)+IF($F55="",1,0)+IF($G55="",1,0)+IF($H55="",1,0)+IF($I55="",1,0)+IF($L55="",1,0)+IF($M55="",1,0)+IF($N55="",1,0)+IF($O55="",1,0)+IF($P55="",1,0)+IF($Q55="",1,0)+IF($S55="",1,0)+IF($U55="",1,0)+IF($V55="",1,0)+IF($X55="",1,0)+IF($Z55="",1,0)+IF(AND($X55="あり",$Y55=""),1,0))</f>
        <v/>
      </c>
    </row>
    <row r="56">
      <c r="A56" s="16" t="n"/>
      <c r="B56" s="16" t="n"/>
      <c r="C56" s="18" t="n"/>
      <c r="D56" s="46" t="n"/>
      <c r="E56" s="46" t="n"/>
      <c r="F56" s="46" t="n"/>
      <c r="G56" s="46" t="n"/>
      <c r="H56" s="16" t="n"/>
      <c r="I56" s="16" t="n"/>
      <c r="J56" s="16" t="n"/>
      <c r="K56" s="16" t="n"/>
      <c r="L56" s="16" t="n"/>
      <c r="M56" s="18" t="n"/>
      <c r="N56" s="18" t="n"/>
      <c r="O56" s="16" t="n"/>
      <c r="P56" s="18" t="n"/>
      <c r="Q56" s="18" t="n"/>
      <c r="R56" s="47">
        <f>IF(OR($P56="",$Q56=""),"",IF($Q56&lt;$P56,"",$Q56-$P56+1))</f>
        <v/>
      </c>
      <c r="S56" s="16" t="n"/>
      <c r="T56" s="16" t="n"/>
      <c r="U56" s="16" t="n"/>
      <c r="V56" s="16" t="n"/>
      <c r="W56" s="48" t="n"/>
      <c r="X56" s="16" t="n"/>
      <c r="Y56" s="48" t="n"/>
      <c r="Z56" s="16" t="n"/>
      <c r="AA56" s="16" t="n"/>
      <c r="AB56" s="16" t="n"/>
      <c r="AC56" s="49">
        <f>IF($A56="","",IF(AD56&gt;0,"未入力","CSV可"))</f>
        <v/>
      </c>
      <c r="AD56">
        <f>IF($A56="","",IF($A56="",1,0)+IF($B56="",1,0)+IF($C56="",1,0)+IF($D56="",1,0)+IF($E56="",1,0)+IF($F56="",1,0)+IF($G56="",1,0)+IF($H56="",1,0)+IF($I56="",1,0)+IF($L56="",1,0)+IF($M56="",1,0)+IF($N56="",1,0)+IF($O56="",1,0)+IF($P56="",1,0)+IF($Q56="",1,0)+IF($S56="",1,0)+IF($U56="",1,0)+IF($V56="",1,0)+IF($X56="",1,0)+IF($Z56="",1,0)+IF(AND($X56="あり",$Y56=""),1,0))</f>
        <v/>
      </c>
    </row>
    <row r="57">
      <c r="A57" s="16" t="n"/>
      <c r="B57" s="16" t="n"/>
      <c r="C57" s="18" t="n"/>
      <c r="D57" s="46" t="n"/>
      <c r="E57" s="46" t="n"/>
      <c r="F57" s="46" t="n"/>
      <c r="G57" s="46" t="n"/>
      <c r="H57" s="16" t="n"/>
      <c r="I57" s="16" t="n"/>
      <c r="J57" s="16" t="n"/>
      <c r="K57" s="16" t="n"/>
      <c r="L57" s="16" t="n"/>
      <c r="M57" s="18" t="n"/>
      <c r="N57" s="18" t="n"/>
      <c r="O57" s="16" t="n"/>
      <c r="P57" s="18" t="n"/>
      <c r="Q57" s="18" t="n"/>
      <c r="R57" s="47">
        <f>IF(OR($P57="",$Q57=""),"",IF($Q57&lt;$P57,"",$Q57-$P57+1))</f>
        <v/>
      </c>
      <c r="S57" s="16" t="n"/>
      <c r="T57" s="16" t="n"/>
      <c r="U57" s="16" t="n"/>
      <c r="V57" s="16" t="n"/>
      <c r="W57" s="48" t="n"/>
      <c r="X57" s="16" t="n"/>
      <c r="Y57" s="48" t="n"/>
      <c r="Z57" s="16" t="n"/>
      <c r="AA57" s="16" t="n"/>
      <c r="AB57" s="16" t="n"/>
      <c r="AC57" s="49">
        <f>IF($A57="","",IF(AD57&gt;0,"未入力","CSV可"))</f>
        <v/>
      </c>
      <c r="AD57">
        <f>IF($A57="","",IF($A57="",1,0)+IF($B57="",1,0)+IF($C57="",1,0)+IF($D57="",1,0)+IF($E57="",1,0)+IF($F57="",1,0)+IF($G57="",1,0)+IF($H57="",1,0)+IF($I57="",1,0)+IF($L57="",1,0)+IF($M57="",1,0)+IF($N57="",1,0)+IF($O57="",1,0)+IF($P57="",1,0)+IF($Q57="",1,0)+IF($S57="",1,0)+IF($U57="",1,0)+IF($V57="",1,0)+IF($X57="",1,0)+IF($Z57="",1,0)+IF(AND($X57="あり",$Y57=""),1,0))</f>
        <v/>
      </c>
    </row>
    <row r="58">
      <c r="A58" s="16" t="n"/>
      <c r="B58" s="16" t="n"/>
      <c r="C58" s="18" t="n"/>
      <c r="D58" s="46" t="n"/>
      <c r="E58" s="46" t="n"/>
      <c r="F58" s="46" t="n"/>
      <c r="G58" s="46" t="n"/>
      <c r="H58" s="16" t="n"/>
      <c r="I58" s="16" t="n"/>
      <c r="J58" s="16" t="n"/>
      <c r="K58" s="16" t="n"/>
      <c r="L58" s="16" t="n"/>
      <c r="M58" s="18" t="n"/>
      <c r="N58" s="18" t="n"/>
      <c r="O58" s="16" t="n"/>
      <c r="P58" s="18" t="n"/>
      <c r="Q58" s="18" t="n"/>
      <c r="R58" s="47">
        <f>IF(OR($P58="",$Q58=""),"",IF($Q58&lt;$P58,"",$Q58-$P58+1))</f>
        <v/>
      </c>
      <c r="S58" s="16" t="n"/>
      <c r="T58" s="16" t="n"/>
      <c r="U58" s="16" t="n"/>
      <c r="V58" s="16" t="n"/>
      <c r="W58" s="48" t="n"/>
      <c r="X58" s="16" t="n"/>
      <c r="Y58" s="48" t="n"/>
      <c r="Z58" s="16" t="n"/>
      <c r="AA58" s="16" t="n"/>
      <c r="AB58" s="16" t="n"/>
      <c r="AC58" s="49">
        <f>IF($A58="","",IF(AD58&gt;0,"未入力","CSV可"))</f>
        <v/>
      </c>
      <c r="AD58">
        <f>IF($A58="","",IF($A58="",1,0)+IF($B58="",1,0)+IF($C58="",1,0)+IF($D58="",1,0)+IF($E58="",1,0)+IF($F58="",1,0)+IF($G58="",1,0)+IF($H58="",1,0)+IF($I58="",1,0)+IF($L58="",1,0)+IF($M58="",1,0)+IF($N58="",1,0)+IF($O58="",1,0)+IF($P58="",1,0)+IF($Q58="",1,0)+IF($S58="",1,0)+IF($U58="",1,0)+IF($V58="",1,0)+IF($X58="",1,0)+IF($Z58="",1,0)+IF(AND($X58="あり",$Y58=""),1,0))</f>
        <v/>
      </c>
    </row>
  </sheetData>
  <mergeCells count="17">
    <mergeCell ref="A4:B4"/>
    <mergeCell ref="G4:H4"/>
    <mergeCell ref="E4:F4"/>
    <mergeCell ref="A6:K6"/>
    <mergeCell ref="Z6:AA6"/>
    <mergeCell ref="U6:Y6"/>
    <mergeCell ref="A5:L5"/>
    <mergeCell ref="P6:T6"/>
    <mergeCell ref="C4:D4"/>
    <mergeCell ref="AB6"/>
    <mergeCell ref="L6:O6"/>
    <mergeCell ref="O1:AB1"/>
    <mergeCell ref="C3:D3"/>
    <mergeCell ref="A3:B3"/>
    <mergeCell ref="G3:H3"/>
    <mergeCell ref="E3:F3"/>
    <mergeCell ref="A1:N1"/>
  </mergeCells>
  <conditionalFormatting sqref="G4">
    <cfRule type="dataBar" priority="1">
      <dataBar showValue="1">
        <cfvo type="num" val="0"/>
        <cfvo type="num" val="1"/>
        <color rgb="0063C384"/>
      </dataBar>
    </cfRule>
  </conditionalFormatting>
  <conditionalFormatting sqref="A5">
    <cfRule type="expression" priority="2" dxfId="0" stopIfTrue="1">
      <formula>ISNUMBER(SEARCH("未入力はありません",A5))</formula>
    </cfRule>
    <cfRule type="expression" priority="3" dxfId="1" stopIfTrue="1">
      <formula>ISNUMBER(SEARCH("未入力が",A5))</formula>
    </cfRule>
  </conditionalFormatting>
  <conditionalFormatting sqref="B9:B58">
    <cfRule type="expression" priority="4" dxfId="2" stopIfTrue="1">
      <formula>AND($A9&lt;&gt;"",B9="")</formula>
    </cfRule>
    <cfRule type="expression" priority="33" dxfId="1" stopIfTrue="1">
      <formula>AND(B9&lt;&gt;"",LENB(B9)&lt;&gt;LEN(B9)*2)</formula>
    </cfRule>
    <cfRule type="expression" priority="34" dxfId="1" stopIfTrue="1">
      <formula>AND(B9&lt;&gt;"",ISERROR(FIND("　",B9)),ISERROR(FIND(" ",B9)))</formula>
    </cfRule>
  </conditionalFormatting>
  <conditionalFormatting sqref="C9:C58">
    <cfRule type="expression" priority="5" dxfId="2" stopIfTrue="1">
      <formula>AND($A9&lt;&gt;"",C9="")</formula>
    </cfRule>
    <cfRule type="expression" priority="35" dxfId="1" stopIfTrue="1">
      <formula>AND(ISNUMBER(C9),C9&gt;80000)</formula>
    </cfRule>
  </conditionalFormatting>
  <conditionalFormatting sqref="D9:D58">
    <cfRule type="expression" priority="6" dxfId="2" stopIfTrue="1">
      <formula>AND($A9&lt;&gt;"",D9="")</formula>
    </cfRule>
    <cfRule type="expression" priority="26" dxfId="1" stopIfTrue="1">
      <formula>AND(D9&lt;&gt;"",D9&lt;&gt;"後日提出",D9&lt;&gt;"別経路提出",LEN(D9)&lt;&gt;12)</formula>
    </cfRule>
    <cfRule type="expression" priority="36" dxfId="1" stopIfTrue="1">
      <formula>AND(D9&lt;&gt;"",D9&lt;&gt;"後日提出",D9&lt;&gt;"別経路提出",LENB(D9)&lt;&gt;LEN(D9))</formula>
    </cfRule>
  </conditionalFormatting>
  <conditionalFormatting sqref="E9:E58">
    <cfRule type="expression" priority="7" dxfId="2" stopIfTrue="1">
      <formula>AND($A9&lt;&gt;"",E9="")</formula>
    </cfRule>
    <cfRule type="expression" priority="27" dxfId="1" stopIfTrue="1">
      <formula>AND(E9&lt;&gt;"",E9&lt;&gt;"後日提出",LEN(E9)&lt;&gt;10)</formula>
    </cfRule>
    <cfRule type="expression" priority="37" dxfId="1" stopIfTrue="1">
      <formula>AND(E9&lt;&gt;"",E9&lt;&gt;"後日提出",LENB(E9)&lt;&gt;LEN(E9))</formula>
    </cfRule>
  </conditionalFormatting>
  <conditionalFormatting sqref="F9:F58">
    <cfRule type="expression" priority="8" dxfId="2" stopIfTrue="1">
      <formula>AND($A9&lt;&gt;"",F9="")</formula>
    </cfRule>
    <cfRule type="expression" priority="28" dxfId="1" stopIfTrue="1">
      <formula>AND(F9&lt;&gt;"",F9&lt;&gt;"後日提出",F9&lt;&gt;"なし",LEN(F9)&lt;&gt;11)</formula>
    </cfRule>
    <cfRule type="expression" priority="38" dxfId="1" stopIfTrue="1">
      <formula>AND(F9&lt;&gt;"",F9&lt;&gt;"後日提出",F9&lt;&gt;"なし",LENB(F9)&lt;&gt;LEN(F9))</formula>
    </cfRule>
  </conditionalFormatting>
  <conditionalFormatting sqref="G9:G58">
    <cfRule type="expression" priority="9" dxfId="2" stopIfTrue="1">
      <formula>AND($A9&lt;&gt;"",G9="")</formula>
    </cfRule>
    <cfRule type="expression" priority="29" dxfId="1" stopIfTrue="1">
      <formula>AND(G9&lt;&gt;"",LEN(SUBSTITUTE(G9,"-",""))&lt;&gt;7)</formula>
    </cfRule>
    <cfRule type="expression" priority="39" dxfId="1" stopIfTrue="1">
      <formula>AND(G9&lt;&gt;"",LENB(G9)&lt;&gt;LEN(G9))</formula>
    </cfRule>
  </conditionalFormatting>
  <conditionalFormatting sqref="H9:H58">
    <cfRule type="expression" priority="10" dxfId="2" stopIfTrue="1">
      <formula>AND($A9&lt;&gt;"",H9="")</formula>
    </cfRule>
  </conditionalFormatting>
  <conditionalFormatting sqref="I9:I58">
    <cfRule type="expression" priority="11" dxfId="2" stopIfTrue="1">
      <formula>AND($A9&lt;&gt;"",I9="")</formula>
    </cfRule>
    <cfRule type="expression" priority="40" dxfId="1" stopIfTrue="1">
      <formula>AND(I9&lt;&gt;"",LENB(I9)&lt;&gt;LEN(I9)*2)</formula>
    </cfRule>
  </conditionalFormatting>
  <conditionalFormatting sqref="L9:L58">
    <cfRule type="expression" priority="12" dxfId="2" stopIfTrue="1">
      <formula>AND($A9&lt;&gt;"",L9="")</formula>
    </cfRule>
  </conditionalFormatting>
  <conditionalFormatting sqref="M9:M58">
    <cfRule type="expression" priority="13" dxfId="2" stopIfTrue="1">
      <formula>AND($A9&lt;&gt;"",M9="")</formula>
    </cfRule>
    <cfRule type="expression" priority="43" dxfId="1" stopIfTrue="1">
      <formula>AND(ISNUMBER(M9),M9&gt;80000)</formula>
    </cfRule>
  </conditionalFormatting>
  <conditionalFormatting sqref="N9:N58">
    <cfRule type="expression" priority="14" dxfId="2" stopIfTrue="1">
      <formula>AND($A9&lt;&gt;"",N9="")</formula>
    </cfRule>
    <cfRule type="expression" priority="44" dxfId="1" stopIfTrue="1">
      <formula>AND(ISNUMBER(N9),N9&gt;80000)</formula>
    </cfRule>
  </conditionalFormatting>
  <conditionalFormatting sqref="O9:O58">
    <cfRule type="expression" priority="15" dxfId="2" stopIfTrue="1">
      <formula>AND($A9&lt;&gt;"",O9="")</formula>
    </cfRule>
  </conditionalFormatting>
  <conditionalFormatting sqref="P9:P58">
    <cfRule type="expression" priority="16" dxfId="2" stopIfTrue="1">
      <formula>AND($A9&lt;&gt;"",P9="")</formula>
    </cfRule>
    <cfRule type="expression" priority="45" dxfId="1" stopIfTrue="1">
      <formula>AND(ISNUMBER(P9),P9&gt;80000)</formula>
    </cfRule>
  </conditionalFormatting>
  <conditionalFormatting sqref="Q9:Q58">
    <cfRule type="expression" priority="17" dxfId="2" stopIfTrue="1">
      <formula>AND($A9&lt;&gt;"",Q9="")</formula>
    </cfRule>
    <cfRule type="expression" priority="30" dxfId="1" stopIfTrue="1">
      <formula>AND($P9&lt;&gt;"",$Q9&lt;&gt;"",$Q9&lt;$P9)</formula>
    </cfRule>
    <cfRule type="expression" priority="46" dxfId="1" stopIfTrue="1">
      <formula>AND(ISNUMBER(Q9),Q9&gt;80000)</formula>
    </cfRule>
  </conditionalFormatting>
  <conditionalFormatting sqref="S9:S58">
    <cfRule type="expression" priority="18" dxfId="2" stopIfTrue="1">
      <formula>AND($A9&lt;&gt;"",S9="")</formula>
    </cfRule>
  </conditionalFormatting>
  <conditionalFormatting sqref="U9:U58">
    <cfRule type="expression" priority="19" dxfId="2" stopIfTrue="1">
      <formula>AND($A9&lt;&gt;"",U9="")</formula>
    </cfRule>
  </conditionalFormatting>
  <conditionalFormatting sqref="V9:V58">
    <cfRule type="expression" priority="20" dxfId="2" stopIfTrue="1">
      <formula>AND($A9&lt;&gt;"",V9="")</formula>
    </cfRule>
  </conditionalFormatting>
  <conditionalFormatting sqref="X9:X58">
    <cfRule type="expression" priority="21" dxfId="2" stopIfTrue="1">
      <formula>AND($A9&lt;&gt;"",X9="")</formula>
    </cfRule>
  </conditionalFormatting>
  <conditionalFormatting sqref="Z9:Z58">
    <cfRule type="expression" priority="22" dxfId="2" stopIfTrue="1">
      <formula>AND($A9&lt;&gt;"",Z9="")</formula>
    </cfRule>
  </conditionalFormatting>
  <conditionalFormatting sqref="A9:A58">
    <cfRule type="expression" priority="23" dxfId="2" stopIfTrue="1">
      <formula>AND($A9="",OR($L9&lt;&gt;"",$M9&lt;&gt;""))</formula>
    </cfRule>
    <cfRule type="expression" priority="31" dxfId="1" stopIfTrue="1">
      <formula>AND(A9&lt;&gt;"",LENB(A9)&lt;&gt;LEN(A9)*2)</formula>
    </cfRule>
    <cfRule type="expression" priority="32" dxfId="1" stopIfTrue="1">
      <formula>AND(A9&lt;&gt;"",ISERROR(FIND("　",A9)),ISERROR(FIND(" ",A9)))</formula>
    </cfRule>
  </conditionalFormatting>
  <conditionalFormatting sqref="Y9:Y58">
    <cfRule type="expression" priority="24" dxfId="2" stopIfTrue="1">
      <formula>AND($X9="あり",Y9="")</formula>
    </cfRule>
    <cfRule type="expression" priority="25" dxfId="3" stopIfTrue="1">
      <formula>AND($X9&lt;&gt;"",$X9&lt;&gt;"あり",Y9="")</formula>
    </cfRule>
  </conditionalFormatting>
  <conditionalFormatting sqref="J9:J58">
    <cfRule type="expression" priority="41" dxfId="1" stopIfTrue="1">
      <formula>AND(J9&lt;&gt;"",LENB(J9)&lt;&gt;LEN(J9)*2)</formula>
    </cfRule>
  </conditionalFormatting>
  <conditionalFormatting sqref="K9:K58">
    <cfRule type="expression" priority="42" dxfId="1" stopIfTrue="1">
      <formula>AND(K9&lt;&gt;"",LENB(K9)&lt;&gt;LEN(K9))</formula>
    </cfRule>
  </conditionalFormatting>
  <conditionalFormatting sqref="AC9:AC58">
    <cfRule type="expression" priority="47" dxfId="0" stopIfTrue="1">
      <formula>AC9="CSV可"</formula>
    </cfRule>
    <cfRule type="expression" priority="48" dxfId="1" stopIfTrue="1">
      <formula>AC9="未入力"</formula>
    </cfRule>
  </conditionalFormatting>
  <dataValidations count="19">
    <dataValidation sqref="C8:C58" showDropDown="0" showInputMessage="1" showErrorMessage="1" allowBlank="1" promptTitle="入力のヒント" prompt="西暦の生年月日。例 1990/4/1。" type="whole" errorStyle="warning" operator="between">
      <formula1>1</formula1>
      <formula2>99999999</formula2>
    </dataValidation>
    <dataValidation sqref="D8:D58" showDropDown="0" showInputMessage="1" showErrorMessage="0" allowBlank="1" promptTitle="入力のヒント" prompt="12桁の数字。ハイフン無し。会社所定の安全な経路で別提出する場合は『別経路提出』、未回収なら『後日提出』を選択。" type="list" errorStyle="stop">
      <formula1>m_番号提出状態</formula1>
    </dataValidation>
    <dataValidation sqref="E8:E58" showDropDown="0" showInputMessage="1" showErrorMessage="0" allowBlank="1" promptTitle="入力のヒント" prompt="基礎年金番号10桁（年金手帳・基礎年金番号通知書に記載）。ハイフン無し。不明なときは『後日提出』を選択。" type="list" errorStyle="stop">
      <formula1>m_後日提出</formula1>
    </dataValidation>
    <dataValidation sqref="F8:F58" showDropDown="0" showInputMessage="1" showErrorMessage="0" allowBlank="1" promptTitle="入力のヒント" prompt="雇用保険被保険者番号11桁（被保険者証・離職票に記載）。ハイフン無し。前職が無い方は『なし』、不明なときは『後日提出』を選択。" type="list" errorStyle="stop">
      <formula1>m_雇保番号状態</formula1>
    </dataValidation>
    <dataValidation sqref="G8:G58" showDropDown="0" showInputMessage="1" showErrorMessage="1" allowBlank="1" errorTitle="入力エラー" error="桁数を確認してください。" promptTitle="入力のヒント" prompt="ハイフン有無どちらでも可（例 930-0001 / 9300001）。" type="textLength" errorStyle="warning" operator="between">
      <formula1>7</formula1>
      <formula2>8</formula2>
    </dataValidation>
    <dataValidation sqref="H8:H58" showDropDown="0" showInputMessage="1" showErrorMessage="1" allowBlank="1" promptTitle="入力のヒント" prompt="一覧から選択。" type="list" errorStyle="stop">
      <formula1>m_都道府県</formula1>
    </dataValidation>
    <dataValidation sqref="M8:M58" showDropDown="0" showInputMessage="1" showErrorMessage="1" allowBlank="1" promptTitle="入力のヒント" prompt="西暦 YYYY/MM/DD（例 2026/7/1）。" type="whole" errorStyle="warning" operator="between">
      <formula1>1</formula1>
      <formula2>99999999</formula2>
    </dataValidation>
    <dataValidation sqref="N8:N58" showDropDown="0" showInputMessage="1" showErrorMessage="1" allowBlank="1" promptTitle="入力のヒント" prompt="西暦 YYYY/MM/DD（例 2026/7/1）。" type="whole" errorStyle="warning" operator="between">
      <formula1>1</formula1>
      <formula2>99999999</formula2>
    </dataValidation>
    <dataValidation sqref="O8:O58" showDropDown="0" showInputMessage="1" showErrorMessage="1" allowBlank="1" promptTitle="入力のヒント" prompt="業務上・通勤災害の場合は傷病手当金ではなく労災の対象です。" type="list" errorStyle="stop">
      <formula1>m_業務上外</formula1>
    </dataValidation>
    <dataValidation sqref="P8:P58" showDropDown="0" showInputMessage="1" showErrorMessage="1" allowBlank="1" promptTitle="入力のヒント" prompt="西暦 YYYY/MM/DD（例 2026/7/1）。" type="whole" errorStyle="warning" operator="between">
      <formula1>1</formula1>
      <formula2>99999999</formula2>
    </dataValidation>
    <dataValidation sqref="Q8:Q58" showDropDown="0" showInputMessage="1" showErrorMessage="1" allowBlank="1" promptTitle="入力のヒント" prompt="西暦 YYYY/MM/DD（例 2026/7/1）。" type="whole" errorStyle="warning" operator="between">
      <formula1>1</formula1>
      <formula2>99999999</formula2>
    </dataValidation>
    <dataValidation sqref="S8:S58" showDropDown="0" showInputMessage="1" showErrorMessage="1" allowBlank="1" promptTitle="入力のヒント" prompt="申請期間中の療養形態。" type="list" errorStyle="stop">
      <formula1>m_入通院</formula1>
    </dataValidation>
    <dataValidation sqref="T8:T58" showDropDown="0" showInputMessage="1" showErrorMessage="1" allowBlank="1" promptTitle="入力のヒント" prompt="支給開始の前提として、連続する3日間（待期）の休務が完成しているか。公休・有給を含めてよい。初回申請の判定に使用。" type="list" errorStyle="stop">
      <formula1>m_待期</formula1>
    </dataValidation>
    <dataValidation sqref="U8:U58" showDropDown="0" showInputMessage="1" showErrorMessage="1" allowBlank="1" promptTitle="入力のヒント" prompt="交通事故など第三者の行為によるものか（別途届出が必要）。" type="list" errorStyle="stop">
      <formula1>m_ありなし</formula1>
    </dataValidation>
    <dataValidation sqref="V8:V58" showDropDown="0" showInputMessage="1" showErrorMessage="1" allowBlank="1" promptTitle="入力のヒント" prompt="申請期間に給与・手当の支払があったか（あると支給調整）。" type="list" errorStyle="stop">
      <formula1>m_報酬支払</formula1>
    </dataValidation>
    <dataValidation sqref="W8:W58" showDropDown="0" showInputMessage="1" showErrorMessage="1" allowBlank="1" promptTitle="入力のヒント" prompt="一部・全額支給の場合の支給額。" type="whole" errorStyle="stop" operator="between">
      <formula1>0</formula1>
      <formula2>100000000</formula2>
    </dataValidation>
    <dataValidation sqref="X8:X58" showDropDown="0" showInputMessage="1" showErrorMessage="1" allowBlank="1" promptTitle="入力のヒント" prompt="同一傷病の障害厚生年金・障害手当金、または老齢（退職）年金の受給有無（支給調整に影響）。" type="list" errorStyle="stop">
      <formula1>m_ありなし</formula1>
    </dataValidation>
    <dataValidation sqref="Y8:Y58" showDropDown="0" showInputMessage="1" showErrorMessage="1" allowBlank="1" promptTitle="入力のヒント" prompt="年金受給『あり』のとき必須。受給中の年金の年額。傷病手当金との調整計算に使用します。" type="whole" errorStyle="stop" operator="between">
      <formula1>0</formula1>
      <formula2>100000000</formula2>
    </dataValidation>
    <dataValidation sqref="Z8:Z58" showDropDown="0" showInputMessage="1" showErrorMessage="1" allowBlank="1" promptTitle="入力のヒント" prompt="申請対象期間が在職中か、退職後の継続給付か。退職後の継続給付は、退職日まで連続1年以上の被保険者期間等の要件があります。" type="list" errorStyle="stop">
      <formula1>m_在職退職</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tabColor rgb="00808080"/>
    <outlinePr summaryBelow="1" summaryRight="1"/>
    <pageSetUpPr/>
  </sheetPr>
  <dimension ref="A1:K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ht="20.5" customHeight="1">
      <c r="A1" s="50" t="inlineStr">
        <is>
          <t>性別</t>
        </is>
      </c>
      <c r="B1" s="50" t="inlineStr">
        <is>
          <t>あり/なし</t>
        </is>
      </c>
      <c r="C1" s="50" t="inlineStr">
        <is>
          <t>都道府県</t>
        </is>
      </c>
      <c r="D1" s="50" t="inlineStr">
        <is>
          <t>番号提出状態</t>
        </is>
      </c>
      <c r="E1" s="50" t="inlineStr">
        <is>
          <t>後日提出</t>
        </is>
      </c>
      <c r="F1" s="50" t="inlineStr">
        <is>
          <t>雇保番号状態</t>
        </is>
      </c>
      <c r="G1" s="50" t="inlineStr">
        <is>
          <t>業務上外</t>
        </is>
      </c>
      <c r="H1" s="50" t="inlineStr">
        <is>
          <t>入通院</t>
        </is>
      </c>
      <c r="I1" s="50" t="inlineStr">
        <is>
          <t>報酬支払</t>
        </is>
      </c>
      <c r="J1" s="50" t="inlineStr">
        <is>
          <t>在職退職</t>
        </is>
      </c>
      <c r="K1" s="50" t="inlineStr">
        <is>
          <t>待期</t>
        </is>
      </c>
    </row>
    <row r="2">
      <c r="A2" s="51" t="inlineStr">
        <is>
          <t>男</t>
        </is>
      </c>
      <c r="B2" s="51" t="inlineStr">
        <is>
          <t>あり</t>
        </is>
      </c>
      <c r="C2" s="51" t="inlineStr">
        <is>
          <t>北海道</t>
        </is>
      </c>
      <c r="D2" s="51" t="inlineStr">
        <is>
          <t>後日提出</t>
        </is>
      </c>
      <c r="E2" s="51" t="inlineStr">
        <is>
          <t>後日提出</t>
        </is>
      </c>
      <c r="F2" s="51" t="inlineStr">
        <is>
          <t>なし</t>
        </is>
      </c>
      <c r="G2" s="51" t="inlineStr">
        <is>
          <t>業務外（私傷病）</t>
        </is>
      </c>
      <c r="H2" s="51" t="inlineStr">
        <is>
          <t>入院</t>
        </is>
      </c>
      <c r="I2" s="51" t="inlineStr">
        <is>
          <t>支給なし</t>
        </is>
      </c>
      <c r="J2" s="51" t="inlineStr">
        <is>
          <t>在職中の申請</t>
        </is>
      </c>
      <c r="K2" s="51" t="inlineStr">
        <is>
          <t>完成（連続する3日の休務あり）</t>
        </is>
      </c>
    </row>
    <row r="3">
      <c r="A3" s="51" t="inlineStr">
        <is>
          <t>女</t>
        </is>
      </c>
      <c r="B3" s="51" t="inlineStr">
        <is>
          <t>なし</t>
        </is>
      </c>
      <c r="C3" s="51" t="inlineStr">
        <is>
          <t>青森県</t>
        </is>
      </c>
      <c r="D3" s="51" t="inlineStr">
        <is>
          <t>別経路提出</t>
        </is>
      </c>
      <c r="F3" s="51" t="inlineStr">
        <is>
          <t>後日提出</t>
        </is>
      </c>
      <c r="G3" s="51" t="inlineStr">
        <is>
          <t>業務上（→労災）</t>
        </is>
      </c>
      <c r="H3" s="51" t="inlineStr">
        <is>
          <t>通院</t>
        </is>
      </c>
      <c r="I3" s="51" t="inlineStr">
        <is>
          <t>一部支給</t>
        </is>
      </c>
      <c r="J3" s="51" t="inlineStr">
        <is>
          <t>退職後の継続給付</t>
        </is>
      </c>
      <c r="K3" s="51" t="inlineStr">
        <is>
          <t>未完成</t>
        </is>
      </c>
    </row>
    <row r="4">
      <c r="C4" s="51" t="inlineStr">
        <is>
          <t>岩手県</t>
        </is>
      </c>
      <c r="G4" s="51" t="inlineStr">
        <is>
          <t>通勤災害（→労災）</t>
        </is>
      </c>
      <c r="H4" s="51" t="inlineStr">
        <is>
          <t>入院・通院の両方</t>
        </is>
      </c>
      <c r="I4" s="51" t="inlineStr">
        <is>
          <t>全額支給</t>
        </is>
      </c>
      <c r="K4" s="51" t="inlineStr">
        <is>
          <t>不明</t>
        </is>
      </c>
    </row>
    <row r="5">
      <c r="C5" s="51" t="inlineStr">
        <is>
          <t>宮城県</t>
        </is>
      </c>
    </row>
    <row r="6">
      <c r="C6" s="51" t="inlineStr">
        <is>
          <t>秋田県</t>
        </is>
      </c>
    </row>
    <row r="7">
      <c r="C7" s="51" t="inlineStr">
        <is>
          <t>山形県</t>
        </is>
      </c>
    </row>
    <row r="8">
      <c r="C8" s="51" t="inlineStr">
        <is>
          <t>福島県</t>
        </is>
      </c>
    </row>
    <row r="9">
      <c r="C9" s="51" t="inlineStr">
        <is>
          <t>茨城県</t>
        </is>
      </c>
    </row>
    <row r="10">
      <c r="C10" s="51" t="inlineStr">
        <is>
          <t>栃木県</t>
        </is>
      </c>
    </row>
    <row r="11">
      <c r="C11" s="51" t="inlineStr">
        <is>
          <t>群馬県</t>
        </is>
      </c>
    </row>
    <row r="12">
      <c r="C12" s="51" t="inlineStr">
        <is>
          <t>埼玉県</t>
        </is>
      </c>
    </row>
    <row r="13">
      <c r="C13" s="51" t="inlineStr">
        <is>
          <t>千葉県</t>
        </is>
      </c>
    </row>
    <row r="14">
      <c r="C14" s="51" t="inlineStr">
        <is>
          <t>東京都</t>
        </is>
      </c>
    </row>
    <row r="15">
      <c r="C15" s="51" t="inlineStr">
        <is>
          <t>神奈川県</t>
        </is>
      </c>
    </row>
    <row r="16">
      <c r="C16" s="51" t="inlineStr">
        <is>
          <t>新潟県</t>
        </is>
      </c>
    </row>
    <row r="17">
      <c r="C17" s="51" t="inlineStr">
        <is>
          <t>富山県</t>
        </is>
      </c>
    </row>
    <row r="18">
      <c r="C18" s="51" t="inlineStr">
        <is>
          <t>石川県</t>
        </is>
      </c>
    </row>
    <row r="19">
      <c r="C19" s="51" t="inlineStr">
        <is>
          <t>福井県</t>
        </is>
      </c>
    </row>
    <row r="20">
      <c r="C20" s="51" t="inlineStr">
        <is>
          <t>山梨県</t>
        </is>
      </c>
    </row>
    <row r="21">
      <c r="C21" s="51" t="inlineStr">
        <is>
          <t>長野県</t>
        </is>
      </c>
    </row>
    <row r="22">
      <c r="C22" s="51" t="inlineStr">
        <is>
          <t>岐阜県</t>
        </is>
      </c>
    </row>
    <row r="23">
      <c r="C23" s="51" t="inlineStr">
        <is>
          <t>静岡県</t>
        </is>
      </c>
    </row>
    <row r="24">
      <c r="C24" s="51" t="inlineStr">
        <is>
          <t>愛知県</t>
        </is>
      </c>
    </row>
    <row r="25">
      <c r="C25" s="51" t="inlineStr">
        <is>
          <t>三重県</t>
        </is>
      </c>
    </row>
    <row r="26">
      <c r="C26" s="51" t="inlineStr">
        <is>
          <t>滋賀県</t>
        </is>
      </c>
    </row>
    <row r="27">
      <c r="C27" s="51" t="inlineStr">
        <is>
          <t>京都府</t>
        </is>
      </c>
    </row>
    <row r="28">
      <c r="C28" s="51" t="inlineStr">
        <is>
          <t>大阪府</t>
        </is>
      </c>
    </row>
    <row r="29">
      <c r="C29" s="51" t="inlineStr">
        <is>
          <t>兵庫県</t>
        </is>
      </c>
    </row>
    <row r="30">
      <c r="C30" s="51" t="inlineStr">
        <is>
          <t>奈良県</t>
        </is>
      </c>
    </row>
    <row r="31">
      <c r="C31" s="51" t="inlineStr">
        <is>
          <t>和歌山県</t>
        </is>
      </c>
    </row>
    <row r="32">
      <c r="C32" s="51" t="inlineStr">
        <is>
          <t>鳥取県</t>
        </is>
      </c>
    </row>
    <row r="33">
      <c r="C33" s="51" t="inlineStr">
        <is>
          <t>島根県</t>
        </is>
      </c>
    </row>
    <row r="34">
      <c r="C34" s="51" t="inlineStr">
        <is>
          <t>岡山県</t>
        </is>
      </c>
    </row>
    <row r="35">
      <c r="C35" s="51" t="inlineStr">
        <is>
          <t>広島県</t>
        </is>
      </c>
    </row>
    <row r="36">
      <c r="C36" s="51" t="inlineStr">
        <is>
          <t>山口県</t>
        </is>
      </c>
    </row>
    <row r="37">
      <c r="C37" s="51" t="inlineStr">
        <is>
          <t>徳島県</t>
        </is>
      </c>
    </row>
    <row r="38">
      <c r="C38" s="51" t="inlineStr">
        <is>
          <t>香川県</t>
        </is>
      </c>
    </row>
    <row r="39">
      <c r="C39" s="51" t="inlineStr">
        <is>
          <t>愛媛県</t>
        </is>
      </c>
    </row>
    <row r="40">
      <c r="C40" s="51" t="inlineStr">
        <is>
          <t>高知県</t>
        </is>
      </c>
    </row>
    <row r="41">
      <c r="C41" s="51" t="inlineStr">
        <is>
          <t>福岡県</t>
        </is>
      </c>
    </row>
    <row r="42">
      <c r="C42" s="51" t="inlineStr">
        <is>
          <t>佐賀県</t>
        </is>
      </c>
    </row>
    <row r="43">
      <c r="C43" s="51" t="inlineStr">
        <is>
          <t>長崎県</t>
        </is>
      </c>
    </row>
    <row r="44">
      <c r="C44" s="51" t="inlineStr">
        <is>
          <t>熊本県</t>
        </is>
      </c>
    </row>
    <row r="45">
      <c r="C45" s="51" t="inlineStr">
        <is>
          <t>大分県</t>
        </is>
      </c>
    </row>
    <row r="46">
      <c r="C46" s="51" t="inlineStr">
        <is>
          <t>宮崎県</t>
        </is>
      </c>
    </row>
    <row r="47">
      <c r="C47" s="51" t="inlineStr">
        <is>
          <t>鹿児島県</t>
        </is>
      </c>
    </row>
    <row r="48">
      <c r="C48" s="51" t="inlineStr">
        <is>
          <t>沖縄県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51" t="inlineStr">
        <is>
          <t>データシート</t>
        </is>
      </c>
      <c r="B1" s="51" t="inlineStr">
        <is>
          <t>傷病手当金 情報</t>
        </is>
      </c>
      <c r="C1" s="51" t="n"/>
      <c r="D1" s="51" t="n"/>
    </row>
    <row r="2">
      <c r="A2" s="51" t="inlineStr">
        <is>
          <t>開始行</t>
        </is>
      </c>
      <c r="B2" s="51" t="n">
        <v>9</v>
      </c>
      <c r="C2" s="51" t="n"/>
      <c r="D2" s="51" t="n"/>
    </row>
    <row r="3">
      <c r="A3" s="51" t="inlineStr">
        <is>
          <t>終了行</t>
        </is>
      </c>
      <c r="B3" s="51" t="n">
        <v>58</v>
      </c>
      <c r="C3" s="51" t="n"/>
      <c r="D3" s="51" t="n"/>
    </row>
    <row r="4">
      <c r="A4" s="51" t="inlineStr">
        <is>
          <t>見出し行</t>
        </is>
      </c>
      <c r="B4" s="51" t="n">
        <v>7</v>
      </c>
      <c r="C4" s="51" t="n"/>
      <c r="D4" s="51" t="n"/>
    </row>
    <row r="5">
      <c r="A5" s="51" t="inlineStr">
        <is>
          <t>A</t>
        </is>
      </c>
      <c r="B5" s="51" t="inlineStr">
        <is>
          <t>kanji</t>
        </is>
      </c>
      <c r="C5" s="51" t="inlineStr">
        <is>
          <t>氏名（漢字）</t>
        </is>
      </c>
      <c r="D5" s="51" t="n">
        <v>0</v>
      </c>
    </row>
    <row r="6">
      <c r="A6" s="51" t="inlineStr">
        <is>
          <t>B</t>
        </is>
      </c>
      <c r="B6" s="51" t="inlineStr">
        <is>
          <t>kana</t>
        </is>
      </c>
      <c r="C6" s="51" t="inlineStr">
        <is>
          <t>氏名（フリガナ）</t>
        </is>
      </c>
      <c r="D6" s="51" t="n">
        <v>25</v>
      </c>
    </row>
    <row r="7">
      <c r="A7" s="51" t="inlineStr">
        <is>
          <t>C</t>
        </is>
      </c>
      <c r="B7" s="51" t="inlineStr">
        <is>
          <t>date</t>
        </is>
      </c>
      <c r="C7" s="51" t="inlineStr">
        <is>
          <t>生年月日</t>
        </is>
      </c>
      <c r="D7" s="51" t="n">
        <v>0</v>
      </c>
    </row>
    <row r="8">
      <c r="A8" s="51" t="inlineStr">
        <is>
          <t>D</t>
        </is>
      </c>
      <c r="B8" s="51" t="inlineStr">
        <is>
          <t>num</t>
        </is>
      </c>
      <c r="C8" s="51" t="inlineStr">
        <is>
          <t>マイナンバー(12桁)</t>
        </is>
      </c>
      <c r="D8" s="51" t="n">
        <v>0</v>
      </c>
    </row>
    <row r="9">
      <c r="A9" s="51" t="inlineStr">
        <is>
          <t>E</t>
        </is>
      </c>
      <c r="B9" s="51" t="inlineStr">
        <is>
          <t>numh</t>
        </is>
      </c>
      <c r="C9" s="51" t="inlineStr">
        <is>
          <t>基礎年金番号(10桁)</t>
        </is>
      </c>
      <c r="D9" s="51" t="n">
        <v>0</v>
      </c>
    </row>
    <row r="10">
      <c r="A10" s="51" t="inlineStr">
        <is>
          <t>F</t>
        </is>
      </c>
      <c r="B10" s="51" t="inlineStr">
        <is>
          <t>numh</t>
        </is>
      </c>
      <c r="C10" s="51" t="inlineStr">
        <is>
          <t>雇用保険被保険者番号(11桁)</t>
        </is>
      </c>
      <c r="D10" s="51" t="n">
        <v>0</v>
      </c>
    </row>
    <row r="11">
      <c r="A11" s="51" t="inlineStr">
        <is>
          <t>G</t>
        </is>
      </c>
      <c r="B11" s="51" t="inlineStr">
        <is>
          <t>numh</t>
        </is>
      </c>
      <c r="C11" s="51" t="inlineStr">
        <is>
          <t>郵便番号</t>
        </is>
      </c>
      <c r="D11" s="51" t="n">
        <v>0</v>
      </c>
    </row>
    <row r="12">
      <c r="A12" s="51" t="inlineStr">
        <is>
          <t>I</t>
        </is>
      </c>
      <c r="B12" s="51" t="inlineStr">
        <is>
          <t>zen</t>
        </is>
      </c>
      <c r="C12" s="51" t="inlineStr">
        <is>
          <t>市区町村以下</t>
        </is>
      </c>
      <c r="D12" s="51" t="n">
        <v>0</v>
      </c>
    </row>
    <row r="13">
      <c r="A13" s="51" t="inlineStr">
        <is>
          <t>J</t>
        </is>
      </c>
      <c r="B13" s="51" t="inlineStr">
        <is>
          <t>zen</t>
        </is>
      </c>
      <c r="C13" s="51" t="inlineStr">
        <is>
          <t>建物名・部屋番号</t>
        </is>
      </c>
      <c r="D13" s="51" t="n">
        <v>0</v>
      </c>
    </row>
    <row r="14">
      <c r="A14" s="51" t="inlineStr">
        <is>
          <t>K</t>
        </is>
      </c>
      <c r="B14" s="51" t="inlineStr">
        <is>
          <t>numh</t>
        </is>
      </c>
      <c r="C14" s="51" t="inlineStr">
        <is>
          <t>電話番号</t>
        </is>
      </c>
      <c r="D14" s="51" t="n">
        <v>0</v>
      </c>
    </row>
    <row r="15">
      <c r="A15" s="51" t="inlineStr">
        <is>
          <t>M</t>
        </is>
      </c>
      <c r="B15" s="51" t="inlineStr">
        <is>
          <t>date</t>
        </is>
      </c>
      <c r="C15" s="51" t="inlineStr">
        <is>
          <t>発病・負傷年月日</t>
        </is>
      </c>
      <c r="D15" s="51" t="n">
        <v>0</v>
      </c>
    </row>
    <row r="16">
      <c r="A16" s="51" t="inlineStr">
        <is>
          <t>N</t>
        </is>
      </c>
      <c r="B16" s="51" t="inlineStr">
        <is>
          <t>date</t>
        </is>
      </c>
      <c r="C16" s="51" t="inlineStr">
        <is>
          <t>初診日</t>
        </is>
      </c>
      <c r="D16" s="51" t="n">
        <v>0</v>
      </c>
    </row>
    <row r="17">
      <c r="A17" s="51" t="inlineStr">
        <is>
          <t>P</t>
        </is>
      </c>
      <c r="B17" s="51" t="inlineStr">
        <is>
          <t>date</t>
        </is>
      </c>
      <c r="C17" s="51" t="inlineStr">
        <is>
          <t>申請対象期間 開始</t>
        </is>
      </c>
      <c r="D17" s="51" t="n">
        <v>0</v>
      </c>
    </row>
    <row r="18">
      <c r="A18" s="51" t="inlineStr">
        <is>
          <t>Q</t>
        </is>
      </c>
      <c r="B18" s="51" t="inlineStr">
        <is>
          <t>date</t>
        </is>
      </c>
      <c r="C18" s="51" t="inlineStr">
        <is>
          <t>申請対象期間 終了</t>
        </is>
      </c>
      <c r="D18" s="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2026-09-10T14:33:53Z</dcterms:created>
  <dcterms:modified xmlns:dcterms="http://purl.org/dc/terms/" xmlns:xsi="http://www.w3.org/2001/XMLSchema-instance" xsi:type="dcterms:W3CDTF">2026-09-10T14:33:53Z</dcterms:modified>
</cp:coreProperties>
</file>