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はじめにお読みください" sheetId="1" state="visible" r:id="rId1"/>
    <sheet xmlns:r="http://schemas.openxmlformats.org/officeDocument/2006/relationships" name="提出チェック・添付・返送" sheetId="2" state="visible" r:id="rId2"/>
    <sheet xmlns:r="http://schemas.openxmlformats.org/officeDocument/2006/relationships" name="産育休 情報" sheetId="3" state="visible" r:id="rId3"/>
    <sheet xmlns:r="http://schemas.openxmlformats.org/officeDocument/2006/relationships" name="_マスタ（非表示）" sheetId="4" state="hidden" r:id="rId4"/>
    <sheet xmlns:r="http://schemas.openxmlformats.org/officeDocument/2006/relationships" name="_制御（非表示）" sheetId="5" state="hidden" r:id="rId5"/>
  </sheets>
  <definedNames>
    <definedName name="m_性別">'_マスタ（非表示）'!$A$2:$A$3</definedName>
    <definedName name="m_ありなし">'_マスタ（非表示）'!$B$2:$B$3</definedName>
    <definedName name="m_都道府県">'_マスタ（非表示）'!$C$2:$C$48</definedName>
    <definedName name="m_番号提出状態">'_マスタ（非表示）'!$D$2:$D$3</definedName>
    <definedName name="m_後日提出">'_マスタ（非表示）'!$E$2:$E$2</definedName>
    <definedName name="m_雇保番号状態">'_マスタ（非表示）'!$F$2:$F$3</definedName>
    <definedName name="m_申出区分">'_マスタ（非表示）'!$G$2:$G$5</definedName>
    <definedName name="m_分割取得">'_マスタ（非表示）'!$H$2:$H$3</definedName>
    <definedName name="m_対象児続柄">'_マスタ（非表示）'!$I$2:$I$4</definedName>
    <definedName name="m_出手期間">'_マスタ（非表示）'!$J$2:$J$4</definedName>
    <definedName name="m_休業中給与">'_マスタ（非表示）'!$K$2:$K$3</definedName>
    <definedName name="m_休業中出勤">'_マスタ（非表示）'!$L$2:$L$3</definedName>
    <definedName name="m_事業所変更">'_マスタ（非表示）'!$M$2:$M$4</definedName>
    <definedName name="m_振込先">'_マスタ（非表示）'!$N$2:$N$3</definedName>
    <definedName name="m_育休対象者">'_マスタ（非表示）'!$O$2:$O$4</definedName>
    <definedName name="m_配偶者状況">'_マスタ（非表示）'!$P$2:$P$10</definedName>
    <definedName name="m_配偶者勤務先">'_マスタ（非表示）'!$Q$2:$Q$4</definedName>
    <definedName name="m_入社2年">'_マスタ（非表示）'!$R$2:$R$3</definedName>
    <definedName name="_xlnm.Print_Titles" localSheetId="2">'産育休 情報'!$1:$7</definedName>
  </definedNames>
  <calcPr calcId="124519" fullCalcOnLoad="1"/>
</workbook>
</file>

<file path=xl/styles.xml><?xml version="1.0" encoding="utf-8"?>
<styleSheet xmlns="http://schemas.openxmlformats.org/spreadsheetml/2006/main">
  <numFmts count="3">
    <numFmt numFmtId="164" formatCode="0&quot;件&quot;"/>
    <numFmt numFmtId="165" formatCode="yyyy-mm-dd"/>
    <numFmt numFmtId="166" formatCode="yyyy/mm/dd"/>
  </numFmts>
  <fonts count="15">
    <font>
      <name val="Calibri"/>
      <family val="2"/>
      <color theme="1"/>
      <sz val="11"/>
      <scheme val="minor"/>
    </font>
    <font>
      <name val="游ゴシック"/>
      <b val="1"/>
      <color rgb="00FFFFFF"/>
      <sz val="11"/>
    </font>
    <font>
      <name val="游ゴシック"/>
      <color rgb="00000000"/>
      <sz val="11"/>
    </font>
    <font>
      <name val="游ゴシック"/>
      <b val="1"/>
      <color rgb="001F4E79"/>
      <sz val="18"/>
    </font>
    <font>
      <name val="游ゴシック"/>
      <b val="1"/>
      <color rgb="00555555"/>
      <sz val="12"/>
    </font>
    <font>
      <name val="游ゴシック"/>
      <b val="1"/>
      <color rgb="00FFFFFF"/>
      <sz val="12"/>
    </font>
    <font>
      <name val="游ゴシック"/>
      <b val="1"/>
      <color rgb="00000000"/>
      <sz val="11"/>
    </font>
    <font>
      <name val="游ゴシック"/>
      <b val="1"/>
      <color rgb="001F3864"/>
      <sz val="11"/>
    </font>
    <font>
      <name val="游ゴシック"/>
      <b val="1"/>
      <color rgb="001F4E79"/>
      <sz val="16"/>
    </font>
    <font>
      <name val="游ゴシック"/>
      <b val="1"/>
      <color rgb="00C00000"/>
      <sz val="11"/>
    </font>
    <font>
      <name val="游ゴシック"/>
      <b val="1"/>
      <color rgb="001F4E79"/>
      <sz val="11"/>
    </font>
    <font>
      <name val="游ゴシック"/>
      <b val="1"/>
      <color rgb="00000000"/>
      <sz val="14"/>
    </font>
    <font>
      <name val="游ゴシック"/>
      <b val="1"/>
      <i val="1"/>
      <color rgb="002E75B6"/>
      <sz val="11"/>
    </font>
    <font>
      <name val="游ゴシック"/>
      <i val="1"/>
      <color rgb="00000000"/>
      <sz val="11"/>
    </font>
    <font>
      <name val="游ゴシック"/>
      <color rgb="00555555"/>
      <sz val="11"/>
    </font>
  </fonts>
  <fills count="20">
    <fill>
      <patternFill/>
    </fill>
    <fill>
      <patternFill patternType="gray125"/>
    </fill>
    <fill>
      <patternFill patternType="solid">
        <fgColor rgb="00808080"/>
      </patternFill>
    </fill>
    <fill>
      <patternFill patternType="solid">
        <fgColor rgb="001F4E79"/>
      </patternFill>
    </fill>
    <fill>
      <patternFill patternType="solid">
        <fgColor rgb="00FFF2CC"/>
      </patternFill>
    </fill>
    <fill>
      <patternFill patternType="solid">
        <fgColor rgb="00E7E6E6"/>
      </patternFill>
    </fill>
    <fill>
      <patternFill patternType="solid">
        <fgColor rgb="00D9D9D9"/>
      </patternFill>
    </fill>
    <fill>
      <patternFill patternType="solid">
        <fgColor rgb="00FCE4E4"/>
      </patternFill>
    </fill>
    <fill>
      <patternFill patternType="solid">
        <fgColor rgb="00FCE4D6"/>
      </patternFill>
    </fill>
    <fill>
      <patternFill patternType="darkUp">
        <fgColor rgb="00808080"/>
        <bgColor rgb="00595959"/>
      </patternFill>
    </fill>
    <fill>
      <patternFill patternType="solid">
        <fgColor rgb="00E2EFDA"/>
      </patternFill>
    </fill>
    <fill>
      <patternFill patternType="solid">
        <fgColor rgb="00EAF3FB"/>
      </patternFill>
    </fill>
    <fill>
      <patternFill patternType="solid">
        <fgColor rgb="00EAF1FB"/>
      </patternFill>
    </fill>
    <fill>
      <patternFill patternType="solid">
        <fgColor rgb="00FFFFFF"/>
      </patternFill>
    </fill>
    <fill>
      <patternFill patternType="solid">
        <fgColor rgb="00D9E1F2"/>
      </patternFill>
    </fill>
    <fill>
      <patternFill patternType="solid">
        <fgColor rgb="00DDEBF7"/>
      </patternFill>
    </fill>
    <fill>
      <patternFill patternType="solid">
        <fgColor rgb="00E2F0D9"/>
      </patternFill>
    </fill>
    <fill>
      <patternFill patternType="solid">
        <fgColor rgb="00EDEDED"/>
      </patternFill>
    </fill>
    <fill>
      <patternFill patternType="solid">
        <fgColor rgb="00BDD7EE"/>
      </patternFill>
    </fill>
    <fill>
      <patternFill patternType="solid">
        <fgColor rgb="00FFF8E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1">
    <xf numFmtId="0" fontId="0" fillId="0" borderId="0" pivotButton="0" quotePrefix="0" xfId="0"/>
    <xf numFmtId="0" fontId="3" fillId="0" borderId="0" pivotButton="0" quotePrefix="0" xfId="0"/>
    <xf numFmtId="0" fontId="4" fillId="0" borderId="0" pivotButton="0" quotePrefix="0" xfId="0"/>
    <xf numFmtId="0" fontId="5" fillId="3" borderId="0" applyAlignment="1" pivotButton="0" quotePrefix="0" xfId="0">
      <alignment horizontal="left" vertical="center" wrapText="1"/>
    </xf>
    <xf numFmtId="0" fontId="2" fillId="0" borderId="0" applyAlignment="1" pivotButton="0" quotePrefix="0" xfId="0">
      <alignment horizontal="left" vertical="top" wrapText="1"/>
    </xf>
    <xf numFmtId="0" fontId="6"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6" fillId="6" borderId="1" applyAlignment="1" pivotButton="0" quotePrefix="0" xfId="0">
      <alignment horizontal="center" vertical="center" wrapText="1"/>
    </xf>
    <xf numFmtId="0" fontId="6" fillId="7" borderId="1" applyAlignment="1" pivotButton="0" quotePrefix="0" xfId="0">
      <alignment horizontal="center" vertical="center" wrapText="1"/>
    </xf>
    <xf numFmtId="0" fontId="6" fillId="8" borderId="1" applyAlignment="1" pivotButton="0" quotePrefix="0" xfId="0">
      <alignment horizontal="center" vertical="center" wrapText="1"/>
    </xf>
    <xf numFmtId="0" fontId="6" fillId="9" borderId="1" applyAlignment="1" pivotButton="0" quotePrefix="0" xfId="0">
      <alignment horizontal="center" vertical="center" wrapText="1"/>
    </xf>
    <xf numFmtId="0" fontId="6" fillId="10"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11" borderId="1" applyAlignment="1" pivotButton="0" quotePrefix="0" xfId="0">
      <alignment horizontal="center" vertical="center" wrapText="1"/>
    </xf>
    <xf numFmtId="0" fontId="7" fillId="0" borderId="0" applyAlignment="1" pivotButton="0" quotePrefix="0" xfId="0">
      <alignment horizontal="left" vertical="top" wrapText="1"/>
    </xf>
    <xf numFmtId="0" fontId="8" fillId="0" borderId="0" pivotButton="0" quotePrefix="0" xfId="0"/>
    <xf numFmtId="0" fontId="14" fillId="19" borderId="0" applyAlignment="1" pivotButton="0" quotePrefix="0" xfId="0">
      <alignment horizontal="left" vertical="top" wrapText="1"/>
    </xf>
    <xf numFmtId="0" fontId="7" fillId="4" borderId="1" applyAlignment="1" pivotButton="0" quotePrefix="0" xfId="0">
      <alignment horizontal="left" vertical="center" wrapText="1"/>
    </xf>
    <xf numFmtId="0" fontId="2" fillId="0" borderId="1" applyAlignment="1" applyProtection="1" pivotButton="0" quotePrefix="0" xfId="0">
      <alignment horizontal="center" vertical="center" wrapText="1"/>
      <protection locked="0" hidden="0"/>
    </xf>
    <xf numFmtId="0" fontId="14" fillId="0" borderId="1" applyAlignment="1" pivotButton="0" quotePrefix="0" xfId="0">
      <alignment horizontal="left" vertical="top" wrapText="1"/>
    </xf>
    <xf numFmtId="166" fontId="2" fillId="0" borderId="1" applyAlignment="1" applyProtection="1" pivotButton="0" quotePrefix="0" xfId="0">
      <alignment horizontal="center" vertical="center" wrapText="1"/>
      <protection locked="0" hidden="0"/>
    </xf>
    <xf numFmtId="0" fontId="7" fillId="6" borderId="1" applyAlignment="1" pivotButton="0" quotePrefix="0" xfId="0">
      <alignment horizontal="left" vertical="center" wrapText="1"/>
    </xf>
    <xf numFmtId="164" fontId="2" fillId="6" borderId="1" applyAlignment="1" pivotButton="0" quotePrefix="0" xfId="0">
      <alignment horizontal="center" vertical="center" wrapText="1"/>
    </xf>
    <xf numFmtId="9" fontId="2" fillId="6" borderId="1" applyAlignment="1" pivotButton="0" quotePrefix="0" xfId="0">
      <alignment horizontal="center" vertical="center" wrapText="1"/>
    </xf>
    <xf numFmtId="0" fontId="2" fillId="6" borderId="1" applyAlignment="1" pivotButton="0" quotePrefix="0" xfId="0">
      <alignment horizontal="center" vertical="center" wrapText="1"/>
    </xf>
    <xf numFmtId="0" fontId="14" fillId="0" borderId="0" applyAlignment="1" pivotButton="0" quotePrefix="0" xfId="0">
      <alignment horizontal="left" vertical="top" wrapText="1"/>
    </xf>
    <xf numFmtId="0" fontId="9" fillId="0" borderId="0" applyAlignment="1" pivotButton="0" quotePrefix="0" xfId="0">
      <alignment horizontal="left" vertical="center" wrapText="1"/>
    </xf>
    <xf numFmtId="0" fontId="0" fillId="12" borderId="0" pivotButton="0" quotePrefix="0" xfId="0"/>
    <xf numFmtId="0" fontId="10" fillId="12" borderId="0" applyAlignment="1" pivotButton="0" quotePrefix="0" xfId="0">
      <alignment horizontal="center" vertical="center" wrapText="1"/>
    </xf>
    <xf numFmtId="164" fontId="11" fillId="13" borderId="1" applyAlignment="1" pivotButton="0" quotePrefix="0" xfId="0">
      <alignment horizontal="center" vertical="center" wrapText="1"/>
    </xf>
    <xf numFmtId="9" fontId="11" fillId="13" borderId="1" applyAlignment="1" pivotButton="0" quotePrefix="0" xfId="0">
      <alignment horizontal="center" vertical="center" wrapText="1"/>
    </xf>
    <xf numFmtId="0" fontId="6" fillId="12" borderId="0" applyAlignment="1" pivotButton="0" quotePrefix="0" xfId="0">
      <alignment horizontal="left" vertical="center" wrapText="1"/>
    </xf>
    <xf numFmtId="0" fontId="7" fillId="14"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10" borderId="1" applyAlignment="1" pivotButton="0" quotePrefix="0" xfId="0">
      <alignment horizontal="center" vertical="center" wrapText="1"/>
    </xf>
    <xf numFmtId="0" fontId="7" fillId="8"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16" borderId="1" applyAlignment="1" pivotButton="0" quotePrefix="0" xfId="0">
      <alignment horizontal="center" vertical="center" wrapText="1"/>
    </xf>
    <xf numFmtId="0" fontId="7" fillId="17" borderId="1" applyAlignment="1" pivotButton="0" quotePrefix="0" xfId="0">
      <alignment horizontal="center" vertical="center" wrapText="1"/>
    </xf>
    <xf numFmtId="0" fontId="6" fillId="18" borderId="1" applyAlignment="1" pivotButton="0" quotePrefix="0" xfId="0">
      <alignment horizontal="center" vertical="center" wrapText="1"/>
    </xf>
    <xf numFmtId="0" fontId="12" fillId="11" borderId="1" applyAlignment="1" pivotButton="0" quotePrefix="0" xfId="0">
      <alignment horizontal="center" vertical="center" wrapText="1"/>
    </xf>
    <xf numFmtId="0" fontId="13" fillId="11" borderId="1" applyAlignment="1" pivotButton="0" quotePrefix="0" xfId="0">
      <alignment horizontal="center" vertical="center" wrapText="1"/>
    </xf>
    <xf numFmtId="166" fontId="13" fillId="11" borderId="1" applyAlignment="1" pivotButton="0" quotePrefix="0" xfId="0">
      <alignment horizontal="center" vertical="center" wrapText="1"/>
    </xf>
    <xf numFmtId="49" fontId="13" fillId="11" borderId="1" applyAlignment="1" pivotButton="0" quotePrefix="0" xfId="0">
      <alignment horizontal="center" vertical="center" wrapText="1"/>
    </xf>
    <xf numFmtId="1" fontId="13" fillId="11" borderId="1" applyAlignment="1" pivotButton="0" quotePrefix="0" xfId="0">
      <alignment horizontal="center" vertical="center" wrapText="1"/>
    </xf>
    <xf numFmtId="3" fontId="13" fillId="11" borderId="1" applyAlignment="1" pivotButton="0" quotePrefix="0" xfId="0">
      <alignment horizontal="center" vertical="center" wrapText="1"/>
    </xf>
    <xf numFmtId="49" fontId="2" fillId="0" borderId="1" applyAlignment="1" applyProtection="1" pivotButton="0" quotePrefix="0" xfId="0">
      <alignment horizontal="center" vertical="center" wrapText="1"/>
      <protection locked="0" hidden="0"/>
    </xf>
    <xf numFmtId="1" fontId="2" fillId="0" borderId="1" applyAlignment="1" applyProtection="1" pivotButton="0" quotePrefix="0" xfId="0">
      <alignment horizontal="center" vertical="center" wrapText="1"/>
      <protection locked="0" hidden="0"/>
    </xf>
    <xf numFmtId="3" fontId="2" fillId="0" borderId="1" applyAlignment="1" applyProtection="1" pivotButton="0" quotePrefix="0" xfId="0">
      <alignment horizontal="center" vertical="center" wrapText="1"/>
      <protection locked="0" hidden="0"/>
    </xf>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dxfs count="4">
    <dxf>
      <fill>
        <patternFill patternType="solid">
          <fgColor rgb="00E2EFDA"/>
          <bgColor rgb="00E2EFDA"/>
        </patternFill>
      </fill>
    </dxf>
    <dxf>
      <fill>
        <patternFill patternType="solid">
          <fgColor rgb="00FCE4D6"/>
          <bgColor rgb="00FCE4D6"/>
        </patternFill>
      </fill>
    </dxf>
    <dxf>
      <fill>
        <patternFill patternType="solid">
          <fgColor rgb="00FCE4E4"/>
          <bgColor rgb="00FCE4E4"/>
        </patternFill>
      </fill>
    </dxf>
    <dxf>
      <fill>
        <patternFill patternType="darkUp">
          <fgColor rgb="00808080"/>
          <bgColor rgb="0059595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社労士フォーム</author>
  </authors>
  <commentList>
    <comment ref="A7" authorId="0" shapeId="0">
      <text>
        <t>用途：出産手当金支給申請書・育児休業給付の各申請書の被保険者氏名。</t>
      </text>
    </comment>
    <comment ref="B7" authorId="0" shapeId="0">
      <text>
        <t>用途：届出のフリガナ欄（全角カタカナ）。</t>
      </text>
    </comment>
    <comment ref="C7" authorId="0" shapeId="0">
      <text>
        <t>用途：被保険者の生年月日（各届出の本人確認）。</t>
      </text>
    </comment>
    <comment ref="D7" authorId="0" shapeId="0">
      <text>
        <t>用途：各届出のマイナンバー欄。</t>
      </text>
    </comment>
    <comment ref="E7" authorId="0" shapeId="0">
      <text>
        <t>用途：厚生年金の基礎年金番号欄。</t>
      </text>
    </comment>
    <comment ref="F7" authorId="0" shapeId="0">
      <text>
        <t>用途：雇用保険の被保険者番号欄。</t>
      </text>
    </comment>
    <comment ref="G7" authorId="0" shapeId="0">
      <text>
        <t>用途：本人住所（各申請書の住所欄）。</t>
      </text>
    </comment>
    <comment ref="H7" authorId="0" shapeId="0">
      <text>
        <t>用途：本人住所の都道府県。</t>
      </text>
    </comment>
    <comment ref="I7" authorId="0" shapeId="0">
      <text>
        <t>用途：本人住所の市区町村以下。</t>
      </text>
    </comment>
    <comment ref="J7" authorId="0" shapeId="0">
      <text>
        <t>用途：本人住所の建物・部屋。</t>
      </text>
    </comment>
    <comment ref="K7" authorId="0" shapeId="0">
      <text>
        <t>用途：本人連絡先。確認の連絡用。</t>
      </text>
    </comment>
    <comment ref="L7" authorId="0" shapeId="0">
      <text>
        <t>用途：申出区分（産休／育休／両方）。提出する届出の振り分け。</t>
      </text>
    </comment>
    <comment ref="M7" authorId="0" shapeId="0">
      <text>
        <t>用途：産前産後休業の起算（出産予定日）。</t>
      </text>
    </comment>
    <comment ref="N7" authorId="0" shapeId="0">
      <text>
        <t>用途：出産日（実績）。産後休業・育休給付の起算。</t>
      </text>
    </comment>
    <comment ref="O7" authorId="0" shapeId="0">
      <text>
        <t>用途：多胎の有無（産前休業期間が変わる）。</t>
      </text>
    </comment>
    <comment ref="P7" authorId="0" shapeId="0">
      <text>
        <t>用途：産前産後休業の社会保険料免除申出の対象期間（開始）。</t>
      </text>
    </comment>
    <comment ref="Q7" authorId="0" shapeId="0">
      <text>
        <t>用途：同（終了。原則 産後8週の翌日）。</t>
      </text>
    </comment>
    <comment ref="R7" authorId="0" shapeId="0">
      <text>
        <t>用途：育児休業給付・社会保険料免除の対象期間（開始）。</t>
      </text>
    </comment>
    <comment ref="S7" authorId="0" shapeId="0">
      <text>
        <t>用途：同（終了予定）。</t>
      </text>
    </comment>
    <comment ref="T7" authorId="0" shapeId="0">
      <text>
        <t>用途：育休の分割取得（2回まで）の申出回。</t>
      </text>
    </comment>
    <comment ref="U7" authorId="0" shapeId="0">
      <text>
        <t>用途：出生時育休（産後パパ育休）の取得日数。</t>
      </text>
    </comment>
    <comment ref="V7" authorId="0" shapeId="0">
      <text>
        <t>用途：育児休業の対象となる子の氏名。</t>
      </text>
    </comment>
    <comment ref="W7" authorId="0" shapeId="0">
      <text>
        <t>用途：対象児の生年月日（育休期間の判定）。</t>
      </text>
    </comment>
    <comment ref="X7" authorId="0" shapeId="0">
      <text>
        <t>用途：対象児の続柄（実子・養子 等）。</t>
      </text>
    </comment>
    <comment ref="Y7" authorId="0" shapeId="0">
      <text>
        <t>用途：育児休業給付の休業開始時賃金月額証明用（参考。正確には賃金台帳）。</t>
      </text>
    </comment>
    <comment ref="Z7" authorId="0" shapeId="0">
      <text>
        <t>用途：休業中の就業予定（給付の支給調整に影響）。</t>
      </text>
    </comment>
    <comment ref="AA7" authorId="0" shapeId="0">
      <text>
        <t>用途：パパ・ママ育休プラス（延長制度）の利用有無。</t>
      </text>
    </comment>
    <comment ref="AB7" authorId="0" shapeId="0">
      <text>
        <t>用途：出産手当金支給申請書の申請期間。</t>
      </text>
    </comment>
    <comment ref="AC7" authorId="0" shapeId="0">
      <text>
        <t>用途：同 事業主証明欄（報酬の支給の有無）。</t>
      </text>
    </comment>
    <comment ref="AD7" authorId="0" shapeId="0">
      <text>
        <t>用途：同 支給した報酬の額。</t>
      </text>
    </comment>
    <comment ref="AF7" authorId="0" shapeId="0">
      <text>
        <t>用途：同 出勤の有無。</t>
      </text>
    </comment>
    <comment ref="AG7" authorId="0" shapeId="0">
      <text>
        <t>用途：同 被保険者証の記号・番号。</t>
      </text>
    </comment>
    <comment ref="AH7" authorId="0" shapeId="0">
      <text>
        <t>用途：健康保険加入状況等申告書の要否の判断。</t>
      </text>
    </comment>
    <comment ref="AI7" authorId="0" shapeId="0">
      <text>
        <t>用途：健康保険加入状況等申告書の前事業所欄。</t>
      </text>
    </comment>
    <comment ref="AJ7" authorId="0" shapeId="0">
      <text>
        <t>用途：振込先の書き方と通帳の写しの要否。</t>
      </text>
    </comment>
    <comment ref="AK7" authorId="0" shapeId="0">
      <text>
        <t>用途：出生後休業支援給付金の対象期間と確認書類の判断。</t>
      </text>
    </comment>
    <comment ref="AL7" authorId="0" shapeId="0">
      <text>
        <t>用途：同 支給申請書の『配偶者の状態』欄。</t>
      </text>
    </comment>
    <comment ref="AM7" authorId="0" shapeId="0">
      <text>
        <t>用途：同 配偶者の確認書類（被保険者番号か通知書か）。</t>
      </text>
    </comment>
    <comment ref="AN7" authorId="0" shapeId="0">
      <text>
        <t>用途：同 配偶者の支給日数の照合。</t>
      </text>
    </comment>
    <comment ref="AO7" authorId="0" shapeId="0">
      <text>
        <t>用途：前職の被保険者期間の通算・離職票-2の要否。</t>
      </text>
    </comment>
    <comment ref="AP7" authorId="0" shapeId="0">
      <text>
        <t>用途：連絡事項。自由記入。</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C44"/>
  <sheetViews>
    <sheetView showGridLines="0" workbookViewId="0">
      <selection activeCell="A1" sqref="A1"/>
    </sheetView>
  </sheetViews>
  <sheetFormatPr baseColWidth="8" defaultRowHeight="15"/>
  <cols>
    <col width="3" customWidth="1" min="1" max="1"/>
    <col width="24" customWidth="1" min="2" max="2"/>
    <col width="95" customWidth="1" min="3" max="3"/>
  </cols>
  <sheetData>
    <row r="1">
      <c r="B1" s="1" t="inlineStr">
        <is>
          <t>産前産後・育児休業 受領フォーム</t>
        </is>
      </c>
    </row>
    <row r="2">
      <c r="B2" s="2" t="inlineStr">
        <is>
          <t>はじめにお読みください（記入要領）</t>
        </is>
      </c>
    </row>
    <row r="3"/>
    <row r="4" ht="24" customHeight="1">
      <c r="B4" s="3" t="inlineStr">
        <is>
          <t>目的</t>
        </is>
      </c>
    </row>
    <row r="5" ht="53.5" customHeight="1">
      <c r="C5" s="4" t="inlineStr">
        <is>
          <t>出産手当金の支給申請と、産前産後休業・育児休業に伴う育児休業給付の申請（初回）に
必要な情報を回収します。このフォーム1本で手続きに着手できるよう、
本人情報（氏名・生年月日・マイナンバー・各種番号・住所）もあわせてご記入ください。</t>
        </is>
      </c>
    </row>
    <row r="6"/>
    <row r="7" ht="24" customHeight="1">
      <c r="B7" s="3" t="inlineStr">
        <is>
          <t>入力の流れ（所要時間の目安：1名あたり 5 分ほど）</t>
        </is>
      </c>
    </row>
    <row r="8" ht="37" customHeight="1">
      <c r="C8" s="4" t="inlineStr">
        <is>
          <t>1. シート『提出チェック・添付・返送』の①に、貴社名・ご担当者名と事業所の番号をご記入ください（届出に必ず要ります。2回目以降は『前回と同じ』で結構です）。</t>
        </is>
      </c>
    </row>
    <row r="9" ht="37" customHeight="1">
      <c r="C9" s="4" t="inlineStr">
        <is>
          <t>2. シート『産育休 情報』の9行目から、1行に1名ずつご記入ください（58行目まで・50名分）。行の挿入はしないでください。薄黄＝必ず記入、薄灰＝該当すれば記入です。</t>
        </is>
      </c>
    </row>
    <row r="10" ht="37" customHeight="1">
      <c r="C10" s="4" t="inlineStr">
        <is>
          <t>3. 申出区分（産休／育休／産後パパ育休／両方）を選ぶと、記入が要る欄だけが薄赤で点灯し、要らない欄は斜線になります。出産前は予定日、出産後は実績日をご記入ください。</t>
        </is>
      </c>
    </row>
    <row r="11" ht="37" customHeight="1">
      <c r="C11" s="4" t="inlineStr">
        <is>
          <t>4. 『提出チェック・添付・返送』の提出可否が「提出可」になったら、受任メールのリンクから案件ページを開き、このファイルをそのまま送ってください。</t>
        </is>
      </c>
    </row>
    <row r="12"/>
    <row r="13" ht="24" customHeight="1">
      <c r="B13" s="3" t="inlineStr">
        <is>
          <t>色の凡例</t>
        </is>
      </c>
    </row>
    <row r="14" ht="20.5" customHeight="1">
      <c r="B14" s="5" t="inlineStr">
        <is>
          <t>必須</t>
        </is>
      </c>
      <c r="C14" s="4" t="inlineStr">
        <is>
          <t>ヘッダーが薄い黄色。必ず入力してください。</t>
        </is>
      </c>
    </row>
    <row r="15" ht="20.5" customHeight="1">
      <c r="B15" s="6" t="inlineStr">
        <is>
          <t>任意</t>
        </is>
      </c>
      <c r="C15" s="4" t="inlineStr">
        <is>
          <t>ヘッダーが薄い灰色。該当する場合に入力。</t>
        </is>
      </c>
    </row>
    <row r="16" ht="20.5" customHeight="1">
      <c r="B16" s="7" t="inlineStr">
        <is>
          <t>自動</t>
        </is>
      </c>
      <c r="C16" s="4" t="inlineStr">
        <is>
          <t>灰色。自動で計算されます（上書きしないでください）。</t>
        </is>
      </c>
    </row>
    <row r="17" ht="20.5" customHeight="1">
      <c r="B17" s="8" t="inlineStr">
        <is>
          <t>未入力警告</t>
        </is>
      </c>
      <c r="C17" s="4" t="inlineStr">
        <is>
          <t>必須の空欄が薄い赤で点灯。入力で消えます。</t>
        </is>
      </c>
    </row>
    <row r="18" ht="20.5" customHeight="1">
      <c r="B18" s="9" t="inlineStr">
        <is>
          <t>形式警告</t>
        </is>
      </c>
      <c r="C18" s="4" t="inlineStr">
        <is>
          <t>桁数・形式が想定と違うと薄い橙で点灯。</t>
        </is>
      </c>
    </row>
    <row r="19" ht="20.5" customHeight="1">
      <c r="B19" s="10" t="inlineStr">
        <is>
          <t>対象外</t>
        </is>
      </c>
      <c r="C19" s="4" t="inlineStr">
        <is>
          <t>暗い灰の斜線（ハッチ）。その条件では記入不要な欄。</t>
        </is>
      </c>
    </row>
    <row r="20" ht="20.5" customHeight="1">
      <c r="B20" s="11" t="inlineStr">
        <is>
          <t>問題なし</t>
        </is>
      </c>
      <c r="C20" s="4" t="inlineStr">
        <is>
          <t>薄い緑。入力・判定が正常なことを示します。</t>
        </is>
      </c>
    </row>
    <row r="21" ht="37" customHeight="1">
      <c r="B21" s="12" t="inlineStr">
        <is>
          <t>見出しの印</t>
        </is>
      </c>
      <c r="C21" s="4" t="inlineStr">
        <is>
          <t>【必】必ず記入／【任】該当すれば記入／【条件により必須】選んだ区分によって必要になる欄（必要なときだけ薄赤に点灯し、不要なときは斜線になります）／【自動】自動計算。</t>
        </is>
      </c>
    </row>
    <row r="22" ht="37" customHeight="1">
      <c r="B22" s="13" t="inlineStr">
        <is>
          <t>記入例</t>
        </is>
      </c>
      <c r="C22" s="4" t="inlineStr">
        <is>
          <t>水色・斜体の1行は記入例です。その下の行からご記入ください（記入例の行は消していただいても構いません）。</t>
        </is>
      </c>
    </row>
    <row r="23"/>
    <row r="24" ht="24" customHeight="1">
      <c r="B24" s="3" t="inlineStr">
        <is>
          <t>ご注意</t>
        </is>
      </c>
    </row>
    <row r="25" ht="20.5" customHeight="1">
      <c r="C25" s="4" t="inlineStr">
        <is>
          <t>休業期間は出産日により変わります。確定前は予定で記入し、確定後にご連絡ください。</t>
        </is>
      </c>
    </row>
    <row r="26" ht="37" customHeight="1">
      <c r="C26" s="4" t="inlineStr">
        <is>
          <t>賃金台帳・出勤簿は、出産手当金だけなら産前産後休業の期間分、育児休業給付もご注文の場合は休業開始前1年分もあわせてご用意ください（産休・欠勤等がある場合は2年分）。</t>
        </is>
      </c>
    </row>
    <row r="27" ht="37" customHeight="1">
      <c r="C27" s="4" t="inlineStr">
        <is>
          <t>出生時育児休業（産後パパ育休）は、子の出生後8週間以内に最大28日、2回まで分割取得できます。取得する場合は『出生時育休 取得日数』もご記入ください。</t>
        </is>
      </c>
    </row>
    <row r="28" ht="37" customHeight="1">
      <c r="C28" s="4" t="inlineStr">
        <is>
          <t>提出期限の目安：出産手当金は権利を行使できるときから2年、育児休業給付（初回）は支給単位期間の初日から4か月を経過する日の属する月の末日です。</t>
        </is>
      </c>
    </row>
    <row r="29"/>
    <row r="30" ht="24" customHeight="1">
      <c r="B30" s="3" t="inlineStr">
        <is>
          <t>本人情報の集め方</t>
        </is>
      </c>
    </row>
    <row r="31" ht="70" customHeight="1">
      <c r="B31" s="14" t="inlineStr">
        <is>
          <t>基本</t>
        </is>
      </c>
      <c r="C31" s="4" t="inlineStr">
        <is>
          <t>本人情報は入社時と同じ内容をご記入ください。本人しか分からない項目（マイナンバー・基礎年金番号・雇用保険被保険者番号など）は、会社内で本人に確認のうえご記入ください。
当事務所の書式「入社時 本人情報記入シート」（https://minano-sr.com/shoshiki/D-52.html）を印刷して本人に書いてもらう方法が簡単です。</t>
        </is>
      </c>
    </row>
    <row r="32" ht="53.5" customHeight="1">
      <c r="B32" s="14" t="inlineStr">
        <is>
          <t>2名以上のとき</t>
        </is>
      </c>
      <c r="C32" s="4" t="inlineStr">
        <is>
          <t>9行目から58行目に、1行に1名ずつご記入ください（50名まで）。
行の挿入はしないでください。挿入した行には自動計算の式が入らず、必須の未入力を見逃したまま『提出可』と表示されます。51名以上のときはご連絡ください。</t>
        </is>
      </c>
    </row>
    <row r="33"/>
    <row r="34" ht="24" customHeight="1">
      <c r="B34" s="3" t="inlineStr">
        <is>
          <t>マイナンバー等 機微情報の取扱い</t>
        </is>
      </c>
    </row>
    <row r="35" ht="53.5" customHeight="1">
      <c r="B35" s="14" t="inlineStr">
        <is>
          <t>入力時</t>
        </is>
      </c>
      <c r="C35" s="4" t="inlineStr">
        <is>
          <t>マイナンバー（12桁）は半角数字・ハイフン無しで入力します。会社所定の安全な経路で別提出する場合は、番号を入力せず『別経路提出』を選んでください。未回収の場合は『後日提出』を選択します。</t>
        </is>
      </c>
    </row>
    <row r="36" ht="37" customHeight="1">
      <c r="B36" s="14" t="inlineStr">
        <is>
          <t>基礎年金番号</t>
        </is>
      </c>
      <c r="C36" s="4" t="inlineStr">
        <is>
          <t>10桁（年金手帳・基礎年金番号通知書に記載）。不明なときはドロップダウンから『後日提出』を選べば未入力扱いになりません（分かり次第ご連絡ください）。</t>
        </is>
      </c>
    </row>
    <row r="37" ht="37" customHeight="1">
      <c r="B37" s="14" t="inlineStr">
        <is>
          <t>雇用保険被保険者番号</t>
        </is>
      </c>
      <c r="C37" s="4" t="inlineStr">
        <is>
          <t>11桁（雇用保険被保険者証・離職票に記載）。前職が無い方は『なし』、番号が不明なときは『後日提出』を選択してください。</t>
        </is>
      </c>
    </row>
    <row r="38" ht="53.5" customHeight="1">
      <c r="B38" s="14" t="inlineStr">
        <is>
          <t>返送方法</t>
        </is>
      </c>
      <c r="C38" s="4" t="inlineStr">
        <is>
          <t>受任メールのリンクから案件ページを開き、記入したこのファイルをそのままお送りください。ZIPにする必要はありません。この経路は暗号化されており、メール添付より安全です。メールに直接添付して送るのは避けてください（マイナンバー等の特定個人情報を含みます）。</t>
        </is>
      </c>
    </row>
    <row r="39" ht="37" customHeight="1">
      <c r="B39" s="14" t="inlineStr">
        <is>
          <t>社内保管</t>
        </is>
      </c>
      <c r="C39" s="4" t="inlineStr">
        <is>
          <t>記入途中のファイルは関係者以外がアクセスできない場所に保管し、提出後は社内ルールに従って適切に削除・保管してください。</t>
        </is>
      </c>
    </row>
    <row r="40"/>
    <row r="41" ht="24" customHeight="1">
      <c r="B41" s="3" t="inlineStr">
        <is>
          <t>この書類について</t>
        </is>
      </c>
    </row>
    <row r="42" ht="20.5" customHeight="1">
      <c r="B42" s="14" t="inlineStr">
        <is>
          <t>事務所名</t>
        </is>
      </c>
      <c r="C42" s="4" t="inlineStr">
        <is>
          <t>みなの社会保険労務士事務所</t>
        </is>
      </c>
    </row>
    <row r="43" ht="20.5" customHeight="1">
      <c r="B43" s="14" t="inlineStr">
        <is>
          <t>お問い合わせ</t>
        </is>
      </c>
      <c r="C43" s="4" t="inlineStr">
        <is>
          <t>076-460-2562 / contact@minano-sr.com</t>
        </is>
      </c>
    </row>
    <row r="44" ht="20.5" customHeight="1">
      <c r="B44" s="14" t="inlineStr">
        <is>
          <t>バージョン</t>
        </is>
      </c>
      <c r="C44" s="4" t="inlineStr">
        <is>
          <t>1.0（更新日 2026-09-11）</t>
        </is>
      </c>
    </row>
  </sheetData>
  <mergeCells count="8">
    <mergeCell ref="B13:C13"/>
    <mergeCell ref="B24:C24"/>
    <mergeCell ref="B30:C30"/>
    <mergeCell ref="B7:C7"/>
    <mergeCell ref="B34:C34"/>
    <mergeCell ref="B41:C41"/>
    <mergeCell ref="B1:C1"/>
    <mergeCell ref="B4:C4"/>
  </mergeCells>
  <pageMargins left="0.75" right="0.75" top="1" bottom="1" header="0.5" footer="0.5"/>
  <pageSetup orientation="portrait" paperSize="9" fitToHeight="0" fitToWidth="1"/>
</worksheet>
</file>

<file path=xl/worksheets/sheet2.xml><?xml version="1.0" encoding="utf-8"?>
<worksheet xmlns="http://schemas.openxmlformats.org/spreadsheetml/2006/main">
  <sheetPr>
    <outlinePr summaryBelow="1" summaryRight="1"/>
    <pageSetUpPr fitToPage="1"/>
  </sheetPr>
  <dimension ref="A1:D26"/>
  <sheetViews>
    <sheetView showGridLines="0" workbookViewId="0">
      <pane ySplit="1" topLeftCell="A2" activePane="bottomLeft" state="frozen"/>
      <selection pane="bottomLeft" activeCell="A1" sqref="A1"/>
    </sheetView>
  </sheetViews>
  <sheetFormatPr baseColWidth="8" defaultRowHeight="15"/>
  <cols>
    <col width="3" customWidth="1" min="1" max="1"/>
    <col width="30" customWidth="1" min="2" max="2"/>
    <col width="26" customWidth="1" min="3" max="3"/>
    <col width="60" customWidth="1" min="4" max="4"/>
  </cols>
  <sheetData>
    <row r="1">
      <c r="B1" s="15" t="inlineStr">
        <is>
          <t>産前産後・育児休業 受領フォーム　提出チェック・添付・返送</t>
        </is>
      </c>
    </row>
    <row r="2" ht="37" customHeight="1">
      <c r="B2" s="16" t="inlineStr">
        <is>
          <t>このシートは貴社（ご担当者さま）が、入力 → 提出前の確認 → 当事務所への返送まで迷わず進めるための案内です。本体シートをご記入のうえ、最後にここをご確認ください。</t>
        </is>
      </c>
    </row>
    <row r="3"/>
    <row r="4" ht="24" customHeight="1">
      <c r="B4" s="3" t="inlineStr">
        <is>
          <t>① 提出前チェック</t>
        </is>
      </c>
    </row>
    <row r="5" ht="26" customHeight="1">
      <c r="B5" s="17" t="inlineStr">
        <is>
          <t>貴社名</t>
        </is>
      </c>
      <c r="C5" s="18" t="n"/>
      <c r="D5" s="19" t="inlineStr">
        <is>
          <t>貴社名をご記入ください。</t>
        </is>
      </c>
    </row>
    <row r="6" ht="26" customHeight="1">
      <c r="B6" s="17" t="inlineStr">
        <is>
          <t>ご入力担当者名</t>
        </is>
      </c>
      <c r="C6" s="18" t="n"/>
      <c r="D6" s="19" t="inlineStr">
        <is>
          <t>このフォームをご記入された方のお名前。</t>
        </is>
      </c>
    </row>
    <row r="7" ht="26" customHeight="1">
      <c r="B7" s="17" t="inlineStr">
        <is>
          <t>ご担当者 連絡先</t>
        </is>
      </c>
      <c r="C7" s="18" t="n"/>
      <c r="D7" s="19" t="inlineStr">
        <is>
          <t>電話番号またはメールアドレス。確認時の連絡用。</t>
        </is>
      </c>
    </row>
    <row r="8" ht="26" customHeight="1">
      <c r="B8" s="17" t="inlineStr">
        <is>
          <t>記入日</t>
        </is>
      </c>
      <c r="C8" s="20" t="n"/>
      <c r="D8" s="19" t="inlineStr">
        <is>
          <t>ご記入（最終確認）日。</t>
        </is>
      </c>
    </row>
    <row r="9" ht="70" customHeight="1">
      <c r="B9" s="17" t="inlineStr">
        <is>
          <t>健康保険・厚生年金の事業所整理記号</t>
        </is>
      </c>
      <c r="C9" s="18" t="n"/>
      <c r="D9" s="19" t="inlineStr">
        <is>
          <t>毎月20日ごろ年金事務所から届く『保険料納入告知額・領収済額通知書』に載っています。口座振替の会社は別名の紙で届きます。例）12-アイウ。2回目以降のご注文で、前回お知らせいただいていれば『前回と同じ』とご記入ください。</t>
        </is>
      </c>
    </row>
    <row r="10" ht="53.5" customHeight="1">
      <c r="B10" s="17" t="inlineStr">
        <is>
          <t>同 事業所番号</t>
        </is>
      </c>
      <c r="C10" s="18" t="n"/>
      <c r="D10" s="19" t="inlineStr">
        <is>
          <t>同じ紙の整理記号の隣にある番号です。5桁。2回目以降のご注文で、前回お知らせいただいていれば『前回と同じ』とご記入ください。</t>
        </is>
      </c>
    </row>
    <row r="11" ht="70" customHeight="1">
      <c r="B11" s="17" t="inlineStr">
        <is>
          <t>雇用保険の事業所番号</t>
        </is>
      </c>
      <c r="C11" s="18" t="n"/>
      <c r="D11" s="19" t="inlineStr">
        <is>
          <t>『雇用保険適用事業所設置届 事業主控』または資格取得等確認通知書に載っています。4桁-6桁-1桁。例）1610-123456-7。2回目以降のご注文で、前回お知らせいただいていれば『前回と同じ』とご記入ください。</t>
        </is>
      </c>
    </row>
    <row r="12" ht="26" customHeight="1">
      <c r="B12" s="21" t="inlineStr">
        <is>
          <t>対象者数（自動）</t>
        </is>
      </c>
      <c r="C12" s="22">
        <f>'産育休 情報'!A4</f>
        <v/>
      </c>
      <c r="D12" s="19" t="inlineStr">
        <is>
          <t>本体シートに入力された件数を自動表示します。</t>
        </is>
      </c>
    </row>
    <row r="13" ht="37" customHeight="1">
      <c r="B13" s="21" t="inlineStr">
        <is>
          <t>必須の未入力 残（自動）</t>
        </is>
      </c>
      <c r="C13" s="22">
        <f>'産育休 情報'!E4</f>
        <v/>
      </c>
      <c r="D13" s="19" t="inlineStr">
        <is>
          <t>未入力の必須項目の残数。0件になるまでご記入ください（本体の薄赤・行ステータス参照）。</t>
        </is>
      </c>
    </row>
    <row r="14" ht="26" customHeight="1">
      <c r="B14" s="21" t="inlineStr">
        <is>
          <t>完了率（自動）</t>
        </is>
      </c>
      <c r="C14" s="23">
        <f>'産育休 情報'!G4</f>
        <v/>
      </c>
      <c r="D14" s="19" t="inlineStr">
        <is>
          <t>必須項目の充足率。</t>
        </is>
      </c>
    </row>
    <row r="15" ht="37" customHeight="1">
      <c r="B15" s="21" t="inlineStr">
        <is>
          <t>提出可否（自動）</t>
        </is>
      </c>
      <c r="C15" s="24">
        <f>IF('産育休 情報'!A4=0,"未入力（対象者なし）",IF(AND('産育休 情報'!E4=0,'産育休 情報'!C4&lt;&gt;'産育休 情報'!A4),"確認が必要：式の入っていない行があります（行を挿入せず9〜58行にご記入ください）",IF('産育休 情報'!E4=0,"提出可（必須の未入力なし）","未入力あり：本体シートの薄赤セル・行ステータスをご確認ください")))</f>
        <v/>
      </c>
      <c r="D15" s="19" t="inlineStr">
        <is>
          <t>必須の未入力が無ければ『提出可』。残っていれば本体をご確認ください。</t>
        </is>
      </c>
    </row>
    <row r="16" ht="26" customHeight="1">
      <c r="B16" s="17" t="inlineStr">
        <is>
          <t>事務所への連絡事項</t>
        </is>
      </c>
      <c r="C16" s="18" t="n"/>
      <c r="D16" s="19" t="inlineStr">
        <is>
          <t>不明点・特記事項があればご記入ください（任意）。</t>
        </is>
      </c>
    </row>
    <row r="17"/>
    <row r="18" ht="24" customHeight="1">
      <c r="B18" s="3" t="inlineStr">
        <is>
          <t>② 一緒に送っていただく書類</t>
        </is>
      </c>
    </row>
    <row r="19" ht="53.5" customHeight="1">
      <c r="B19" s="16" t="inlineStr">
        <is>
          <t>書類の一覧と、いま何が届いているかは案件ページが正です。このシートには書類の状態を書かないでください（二重管理になります）。
案件ページは受任メールのリンクから開けます。届いた書類はその場で受領済みに変わります。</t>
        </is>
      </c>
    </row>
    <row r="20" ht="136" customHeight="1">
      <c r="B20" s="25" t="inlineStr">
        <is>
          <t>この手続きで必要になるもの：
　・出産手当金支給申請書 1・2ページ（ご本人に記入・署名いただく）
　・医師・助産師の証明欄（申請書2ページ目）
　・母子健康手帳の写し（出産予定日／出産日）
　・育児休業申出書（または休業期間のわかる書面）
　・賃金台帳
　・出勤簿・タイムカード（賃金台帳と同じ期間）
　・休業中の給与支給の有無・金額</t>
        </is>
      </c>
    </row>
    <row r="21"/>
    <row r="22" ht="24" customHeight="1">
      <c r="B22" s="3" t="inlineStr">
        <is>
          <t>③ 当事務所への返送について</t>
        </is>
      </c>
    </row>
    <row r="23" ht="86.5" customHeight="1">
      <c r="B23" s="16" t="inlineStr">
        <is>
          <t>記入したこのファイルを、案件ページからそのままお送りください。ZIPにする必要はありません。ファイル名も変えなくて構いません。
送り先は受任メールに載せた案件ページのリンクです。そのページの「受領フォーム」の欄から、このファイルを選ぶだけで届きます。
メールに添付して送るのは避けてください（マイナンバー等を含みます）。</t>
        </is>
      </c>
    </row>
    <row r="24"/>
    <row r="25" ht="24" customHeight="1">
      <c r="B25" s="3" t="inlineStr">
        <is>
          <t>④ 入力の補足（情報が揃わないとき）</t>
        </is>
      </c>
    </row>
    <row r="26" ht="53.5" customHeight="1">
      <c r="B26" s="25" t="inlineStr">
        <is>
          <t>・『不明』『後日提出』を選べる欄は、空欄のままにせず状態を残してください。後で当事務所が確認・督促できます。
・該当しない欄は『該当なし』を選ぶか空欄で構いません（条件次第で対象外＝斜線になる欄もあります）。
・色の意味：薄黄＝必須／薄灰＝任意／薄赤＝必須の未入力／薄橙＝形式の確認／斜線＝記入不要。</t>
        </is>
      </c>
    </row>
  </sheetData>
  <mergeCells count="10">
    <mergeCell ref="B19:D19"/>
    <mergeCell ref="B23:D23"/>
    <mergeCell ref="B1:D1"/>
    <mergeCell ref="B22:D22"/>
    <mergeCell ref="B4:D4"/>
    <mergeCell ref="B26:D26"/>
    <mergeCell ref="B18:D18"/>
    <mergeCell ref="B25:D25"/>
    <mergeCell ref="B2:D2"/>
    <mergeCell ref="B20:D20"/>
  </mergeCells>
  <conditionalFormatting sqref="C15">
    <cfRule type="expression" priority="1" dxfId="0" stopIfTrue="1">
      <formula>ISNUMBER(SEARCH("提出可",C15))</formula>
    </cfRule>
    <cfRule type="expression" priority="2" dxfId="1" stopIfTrue="1">
      <formula>AND(ISNUMBER(SEARCH("未入力",C15)),ISERROR(SEARCH("提出可",C15)))</formula>
    </cfRule>
    <cfRule type="expression" priority="3" dxfId="2" stopIfTrue="1">
      <formula>ISNUMBER(SEARCH("確認が必要",C15))</formula>
    </cfRule>
  </conditionalFormatting>
  <conditionalFormatting sqref="C13">
    <cfRule type="expression" priority="4" dxfId="1" stopIfTrue="1">
      <formula>C13&gt;0</formula>
    </cfRule>
  </conditionalFormatting>
  <dataValidations count="1">
    <dataValidation sqref="C8" showDropDown="0" showInputMessage="1" showErrorMessage="1" allowBlank="1" promptTitle="入力のヒント" prompt="西暦 YYYY/MM/DD。" type="whole" errorStyle="warning" operator="between">
      <formula1>1</formula1>
      <formula2>99999999</formula2>
    </dataValidation>
  </dataValidations>
  <pageMargins left="0.75" right="0.75" top="1" bottom="1" header="0.5" footer="0.5"/>
  <pageSetup orientation="portrait" paperSize="9" fitToHeight="0" fitToWidth="1"/>
</worksheet>
</file>

<file path=xl/worksheets/sheet3.xml><?xml version="1.0" encoding="utf-8"?>
<worksheet xmlns="http://schemas.openxmlformats.org/spreadsheetml/2006/main">
  <sheetPr>
    <outlinePr summaryBelow="1" summaryRight="1"/>
    <pageSetUpPr fitToPage="1"/>
  </sheetPr>
  <dimension ref="A1:AR58"/>
  <sheetViews>
    <sheetView showGridLines="0" workbookViewId="0">
      <pane xSplit="2" ySplit="8" topLeftCell="C9"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5" customWidth="1" min="3" max="3"/>
    <col width="17" customWidth="1" min="4" max="4"/>
    <col width="16" customWidth="1" min="5" max="5"/>
    <col width="20" customWidth="1" min="6" max="6"/>
    <col width="13" customWidth="1" min="7" max="7"/>
    <col width="12" customWidth="1" min="8" max="8"/>
    <col width="24" customWidth="1" min="9" max="9"/>
    <col width="20" customWidth="1" min="10" max="10"/>
    <col width="16" customWidth="1" min="11" max="11"/>
    <col width="16" customWidth="1" min="12" max="12"/>
    <col width="16" customWidth="1" min="13" max="13"/>
    <col width="16" customWidth="1" min="14" max="14"/>
    <col width="13" customWidth="1" min="15" max="15"/>
    <col width="18" customWidth="1" min="16" max="16"/>
    <col width="18" customWidth="1" min="17" max="17"/>
    <col width="17" customWidth="1" min="18" max="18"/>
    <col width="18" customWidth="1" min="19" max="19"/>
    <col width="16" customWidth="1" min="20" max="20"/>
    <col width="17" customWidth="1" min="21" max="21"/>
    <col width="18" customWidth="1" min="22" max="22"/>
    <col width="16" customWidth="1" min="23" max="23"/>
    <col width="14" customWidth="1" min="24" max="24"/>
    <col width="20" customWidth="1" min="25" max="25"/>
    <col width="16" customWidth="1" min="26" max="26"/>
    <col width="18" customWidth="1" min="27" max="27"/>
    <col width="24" customWidth="1" min="28" max="28"/>
    <col width="22" customWidth="1" min="29" max="29"/>
    <col width="22" customWidth="1" min="30" max="30"/>
    <col width="20" customWidth="1" min="31" max="31"/>
    <col width="18" customWidth="1" min="32" max="32"/>
    <col width="24" customWidth="1" min="33" max="33"/>
    <col width="26" customWidth="1" min="34" max="34"/>
    <col width="36" customWidth="1" min="35" max="35"/>
    <col width="28" customWidth="1" min="36" max="36"/>
    <col width="20" customWidth="1" min="37" max="37"/>
    <col width="36" customWidth="1" min="38" max="38"/>
    <col width="24" customWidth="1" min="39" max="39"/>
    <col width="26" customWidth="1" min="40" max="40"/>
    <col width="20" customWidth="1" min="41" max="41"/>
    <col width="36" customWidth="1" min="42" max="42"/>
    <col width="13" customWidth="1" min="43" max="43"/>
    <col hidden="1" width="13" customWidth="1" min="44" max="44"/>
  </cols>
  <sheetData>
    <row r="1" ht="26" customHeight="1">
      <c r="A1" s="15" t="inlineStr">
        <is>
          <t>産育休 情報</t>
        </is>
      </c>
      <c r="V1" s="26" t="inlineStr">
        <is>
          <t>※休業日は出産実績で変動。確定後に更新してください。</t>
        </is>
      </c>
    </row>
    <row r="2">
      <c r="A2" s="27" t="n"/>
      <c r="B2" s="27" t="n"/>
      <c r="C2" s="27" t="n"/>
      <c r="D2" s="27" t="n"/>
      <c r="E2" s="27" t="n"/>
      <c r="F2" s="27" t="n"/>
      <c r="G2" s="27" t="n"/>
      <c r="H2" s="27" t="n"/>
      <c r="I2" s="27" t="n"/>
      <c r="J2" s="27" t="n"/>
      <c r="K2" s="27" t="n"/>
      <c r="L2" s="27" t="n"/>
      <c r="M2" s="27" t="n"/>
      <c r="N2" s="27" t="n"/>
    </row>
    <row r="3" ht="20.5" customHeight="1">
      <c r="A3" s="28" t="inlineStr">
        <is>
          <t>入力対象 件数</t>
        </is>
      </c>
      <c r="C3" s="28" t="inlineStr">
        <is>
          <t>必須充足 件数</t>
        </is>
      </c>
      <c r="E3" s="28" t="inlineStr">
        <is>
          <t>必須未入力 残</t>
        </is>
      </c>
      <c r="G3" s="28" t="inlineStr">
        <is>
          <t>完了率</t>
        </is>
      </c>
      <c r="I3" s="27" t="n"/>
      <c r="J3" s="27" t="n"/>
      <c r="K3" s="27" t="n"/>
      <c r="L3" s="27" t="n"/>
      <c r="M3" s="27" t="n"/>
      <c r="N3" s="27" t="n"/>
    </row>
    <row r="4">
      <c r="A4" s="29">
        <f>COUNTA(A9:A58)</f>
        <v/>
      </c>
      <c r="C4" s="29">
        <f>COUNTIF(AR9:AR58,0)</f>
        <v/>
      </c>
      <c r="E4" s="29">
        <f>SUM(AR9:AR58)</f>
        <v/>
      </c>
      <c r="G4" s="30">
        <f>IF(A4=0,0,C4/A4)</f>
        <v/>
      </c>
      <c r="I4" s="27" t="n"/>
      <c r="J4" s="27" t="n"/>
      <c r="K4" s="27" t="n"/>
      <c r="L4" s="27" t="n"/>
      <c r="M4" s="27" t="n"/>
      <c r="N4" s="27" t="n"/>
    </row>
    <row r="5" ht="20" customHeight="1">
      <c r="A5" s="31">
        <f>IF(A4=0,"（まだ入力がありません。水色の記入例の下の行からご記入ください）",IF(AND(E4=0,C4&lt;&gt;A4),"⚠ 式の入っていない行があります：行を挿入せず 9〜58 行にご記入ください",IF(E4=0,"✓ 必須の未入力はありません","⚠ 必須の未入力が "&amp;E4&amp;" 件あります：本体の赤いセル・右端の行ステータスをご確認ください")))</f>
        <v/>
      </c>
      <c r="M5" s="27" t="n"/>
      <c r="N5" s="27" t="n"/>
    </row>
    <row r="6" ht="22" customHeight="1">
      <c r="A6" s="32" t="inlineStr">
        <is>
          <t>本人情報</t>
        </is>
      </c>
      <c r="L6" s="33" t="inlineStr">
        <is>
          <t>区分</t>
        </is>
      </c>
      <c r="M6" s="34" t="inlineStr">
        <is>
          <t>出産</t>
        </is>
      </c>
      <c r="P6" s="35" t="inlineStr">
        <is>
          <t>産前産後休業</t>
        </is>
      </c>
      <c r="R6" s="36" t="inlineStr">
        <is>
          <t>育児休業</t>
        </is>
      </c>
      <c r="V6" s="37" t="inlineStr">
        <is>
          <t>対象児</t>
        </is>
      </c>
      <c r="Y6" s="38" t="inlineStr">
        <is>
          <t>給付</t>
        </is>
      </c>
      <c r="AB6" s="32" t="inlineStr">
        <is>
          <t>出産手当金</t>
        </is>
      </c>
      <c r="AK6" s="33" t="inlineStr">
        <is>
          <t>配偶者</t>
        </is>
      </c>
      <c r="AP6" s="34" t="inlineStr">
        <is>
          <t>その他</t>
        </is>
      </c>
    </row>
    <row r="7" ht="70" customHeight="1">
      <c r="A7" s="5" t="inlineStr">
        <is>
          <t>氏名（漢字）
【必】</t>
        </is>
      </c>
      <c r="B7" s="5" t="inlineStr">
        <is>
          <t>氏名（フリガナ）
【必】</t>
        </is>
      </c>
      <c r="C7" s="5" t="inlineStr">
        <is>
          <t>生年月日
【必】</t>
        </is>
      </c>
      <c r="D7" s="5" t="inlineStr">
        <is>
          <t>マイナンバー(12桁)
【必】</t>
        </is>
      </c>
      <c r="E7" s="5" t="inlineStr">
        <is>
          <t>基礎年金番号(10桁)
【必】</t>
        </is>
      </c>
      <c r="F7" s="5" t="inlineStr">
        <is>
          <t>雇用保険被保険者番号(11桁)
【必】</t>
        </is>
      </c>
      <c r="G7" s="5" t="inlineStr">
        <is>
          <t>郵便番号
【必】</t>
        </is>
      </c>
      <c r="H7" s="5" t="inlineStr">
        <is>
          <t>都道府県
【必】</t>
        </is>
      </c>
      <c r="I7" s="5" t="inlineStr">
        <is>
          <t>市区町村以下
【必】</t>
        </is>
      </c>
      <c r="J7" s="6" t="inlineStr">
        <is>
          <t>建物名・部屋番号
【任】</t>
        </is>
      </c>
      <c r="K7" s="6" t="inlineStr">
        <is>
          <t>電話番号
【任】</t>
        </is>
      </c>
      <c r="L7" s="5" t="inlineStr">
        <is>
          <t>申出区分
【必】</t>
        </is>
      </c>
      <c r="M7" s="6" t="inlineStr">
        <is>
          <t>出産予定日
【条件により必須】</t>
        </is>
      </c>
      <c r="N7" s="6" t="inlineStr">
        <is>
          <t>出産日（実績）
【任】</t>
        </is>
      </c>
      <c r="O7" s="6" t="inlineStr">
        <is>
          <t>多胎妊娠
【条件により必須】</t>
        </is>
      </c>
      <c r="P7" s="6" t="inlineStr">
        <is>
          <t>産前産後 休業開始日
【条件により必須】</t>
        </is>
      </c>
      <c r="Q7" s="6" t="inlineStr">
        <is>
          <t>産前産後 休業終了日
【条件により必須】</t>
        </is>
      </c>
      <c r="R7" s="6" t="inlineStr">
        <is>
          <t>育児休業 開始日
【条件により必須】</t>
        </is>
      </c>
      <c r="S7" s="6" t="inlineStr">
        <is>
          <t>育児休業 終了予定日
【条件により必須】</t>
        </is>
      </c>
      <c r="T7" s="6" t="inlineStr">
        <is>
          <t>育休の分割取得
【任】</t>
        </is>
      </c>
      <c r="U7" s="6" t="inlineStr">
        <is>
          <t>出生時育休 取得日数
【任】</t>
        </is>
      </c>
      <c r="V7" s="6" t="inlineStr">
        <is>
          <t>対象児 氏名
【任】</t>
        </is>
      </c>
      <c r="W7" s="6" t="inlineStr">
        <is>
          <t>対象児 生年月日
【任】</t>
        </is>
      </c>
      <c r="X7" s="6" t="inlineStr">
        <is>
          <t>対象児 続柄
【任】</t>
        </is>
      </c>
      <c r="Y7" s="6" t="inlineStr">
        <is>
          <t>休業開始前賃金（月額・円）
【任】</t>
        </is>
      </c>
      <c r="Z7" s="6" t="inlineStr">
        <is>
          <t>休業中の就業 予定
【条件により必須】</t>
        </is>
      </c>
      <c r="AA7" s="6" t="inlineStr">
        <is>
          <t>パパ・ママ育休プラス
【任】</t>
        </is>
      </c>
      <c r="AB7" s="6" t="inlineStr">
        <is>
          <t>出産手当金 今回申請する期間
【条件により必須】</t>
        </is>
      </c>
      <c r="AC7" s="6" t="inlineStr">
        <is>
          <t>産休中に給与を払いましたか
【条件により必須】</t>
        </is>
      </c>
      <c r="AD7" s="6" t="inlineStr">
        <is>
          <t>一部支払った場合の額（円）
【任】</t>
        </is>
      </c>
      <c r="AE7" s="6" t="inlineStr">
        <is>
          <t>その給与の支給日
【任】</t>
        </is>
      </c>
      <c r="AF7" s="6" t="inlineStr">
        <is>
          <t>産休中に出勤した日
【条件により必須】</t>
        </is>
      </c>
      <c r="AG7" s="6" t="inlineStr">
        <is>
          <t>健康保険の記号・番号
【条件により必須】</t>
        </is>
      </c>
      <c r="AH7" s="6" t="inlineStr">
        <is>
          <t>支給開始日前12か月内の事業所変更
【任】</t>
        </is>
      </c>
      <c r="AI7" s="6" t="inlineStr">
        <is>
          <t>前の事業所名・所在地・在籍期間
【条件により必須】</t>
        </is>
      </c>
      <c r="AJ7" s="6" t="inlineStr">
        <is>
          <t>振込先
【条件により必須】</t>
        </is>
      </c>
      <c r="AK7" s="6" t="inlineStr">
        <is>
          <t>育休の対象になる方
【条件により必須】</t>
        </is>
      </c>
      <c r="AL7" s="6" t="inlineStr">
        <is>
          <t>配偶者の状況
【条件により必須】</t>
        </is>
      </c>
      <c r="AM7" s="6" t="inlineStr">
        <is>
          <t>配偶者の勤務先の種別
【任】</t>
        </is>
      </c>
      <c r="AN7" s="6" t="inlineStr">
        <is>
          <t>配偶者の雇用保険被保険者番号(11桁)
【任】</t>
        </is>
      </c>
      <c r="AO7" s="6" t="inlineStr">
        <is>
          <t>入社から2年未満ですか
【条件により必須】</t>
        </is>
      </c>
      <c r="AP7" s="6" t="inlineStr">
        <is>
          <t>備考（連絡事項）
【任】</t>
        </is>
      </c>
      <c r="AQ7" s="39" t="inlineStr">
        <is>
          <t>行ステータス
（CSV可否）</t>
        </is>
      </c>
    </row>
    <row r="8" ht="37" customHeight="1">
      <c r="A8" s="40" t="inlineStr">
        <is>
          <t>山田　太郎</t>
        </is>
      </c>
      <c r="B8" s="41" t="inlineStr">
        <is>
          <t>ヤマダ　タロウ</t>
        </is>
      </c>
      <c r="C8" s="42" t="n">
        <v>32964</v>
      </c>
      <c r="D8" s="43" t="inlineStr">
        <is>
          <t>123456789012</t>
        </is>
      </c>
      <c r="E8" s="43" t="inlineStr">
        <is>
          <t>後日提出</t>
        </is>
      </c>
      <c r="F8" s="43" t="inlineStr">
        <is>
          <t>なし</t>
        </is>
      </c>
      <c r="G8" s="43" t="inlineStr">
        <is>
          <t>930-0001</t>
        </is>
      </c>
      <c r="H8" s="41" t="inlineStr">
        <is>
          <t>富山県</t>
        </is>
      </c>
      <c r="I8" s="41" t="inlineStr">
        <is>
          <t>富山市〇〇1-2-3</t>
        </is>
      </c>
      <c r="J8" s="41" t="inlineStr">
        <is>
          <t>〇〇マンション101</t>
        </is>
      </c>
      <c r="K8" s="43" t="inlineStr">
        <is>
          <t>076-000-0000</t>
        </is>
      </c>
      <c r="L8" s="41" t="inlineStr">
        <is>
          <t>産休＋育休</t>
        </is>
      </c>
      <c r="M8" s="42" t="n">
        <v>46266</v>
      </c>
      <c r="N8" s="42" t="n"/>
      <c r="O8" s="41" t="inlineStr">
        <is>
          <t>なし</t>
        </is>
      </c>
      <c r="P8" s="42" t="n">
        <v>46225</v>
      </c>
      <c r="Q8" s="42" t="n">
        <v>46322</v>
      </c>
      <c r="R8" s="42" t="n">
        <v>46323</v>
      </c>
      <c r="S8" s="42" t="n">
        <v>46630</v>
      </c>
      <c r="T8" s="41" t="inlineStr">
        <is>
          <t>分割なし／1回目</t>
        </is>
      </c>
      <c r="U8" s="44" t="n"/>
      <c r="V8" s="41" t="inlineStr">
        <is>
          <t>（出産後に記入）</t>
        </is>
      </c>
      <c r="W8" s="42" t="n"/>
      <c r="X8" s="41" t="n"/>
      <c r="Y8" s="45" t="n">
        <v>280000</v>
      </c>
      <c r="Z8" s="41" t="inlineStr">
        <is>
          <t>なし</t>
        </is>
      </c>
      <c r="AA8" s="41" t="inlineStr">
        <is>
          <t>なし</t>
        </is>
      </c>
      <c r="AB8" s="41" t="inlineStr">
        <is>
          <t>産前産後をまとめて</t>
        </is>
      </c>
      <c r="AC8" s="41" t="inlineStr">
        <is>
          <t>支払っていない</t>
        </is>
      </c>
      <c r="AD8" s="45" t="n"/>
      <c r="AE8" s="41" t="n"/>
      <c r="AF8" s="41" t="inlineStr">
        <is>
          <t>なかった</t>
        </is>
      </c>
      <c r="AG8" s="43" t="n"/>
      <c r="AH8" s="41" t="inlineStr">
        <is>
          <t>ない</t>
        </is>
      </c>
      <c r="AI8" s="41" t="n"/>
      <c r="AJ8" s="41" t="inlineStr">
        <is>
          <t>マイナポータルの公金受取口座を使う</t>
        </is>
      </c>
      <c r="AK8" s="41" t="inlineStr">
        <is>
          <t>母親</t>
        </is>
      </c>
      <c r="AL8" s="41" t="inlineStr">
        <is>
          <t>配偶者も14日以上の育児休業を取得</t>
        </is>
      </c>
      <c r="AM8" s="41" t="inlineStr">
        <is>
          <t>民間（雇用保険の被保険者）</t>
        </is>
      </c>
      <c r="AN8" s="43" t="n"/>
      <c r="AO8" s="41" t="inlineStr">
        <is>
          <t>2年以上</t>
        </is>
      </c>
      <c r="AP8" s="41" t="inlineStr">
        <is>
          <t>← この行は記入例です</t>
        </is>
      </c>
    </row>
    <row r="9">
      <c r="A9" s="18" t="n"/>
      <c r="B9" s="18" t="n"/>
      <c r="C9" s="20" t="n"/>
      <c r="D9" s="46" t="n"/>
      <c r="E9" s="46" t="n"/>
      <c r="F9" s="46" t="n"/>
      <c r="G9" s="46" t="n"/>
      <c r="H9" s="18" t="n"/>
      <c r="I9" s="18" t="n"/>
      <c r="J9" s="18" t="n"/>
      <c r="K9" s="46" t="n"/>
      <c r="L9" s="18" t="n"/>
      <c r="M9" s="20" t="n"/>
      <c r="N9" s="20" t="n"/>
      <c r="O9" s="18" t="n"/>
      <c r="P9" s="20" t="n"/>
      <c r="Q9" s="20" t="n"/>
      <c r="R9" s="20" t="n"/>
      <c r="S9" s="20" t="n"/>
      <c r="T9" s="18" t="n"/>
      <c r="U9" s="47" t="n"/>
      <c r="V9" s="18" t="n"/>
      <c r="W9" s="20" t="n"/>
      <c r="X9" s="18" t="n"/>
      <c r="Y9" s="48" t="n"/>
      <c r="Z9" s="18" t="n"/>
      <c r="AA9" s="18" t="n"/>
      <c r="AB9" s="18" t="n"/>
      <c r="AC9" s="18" t="n"/>
      <c r="AD9" s="48" t="n"/>
      <c r="AE9" s="18" t="n"/>
      <c r="AF9" s="18" t="n"/>
      <c r="AG9" s="46" t="n"/>
      <c r="AH9" s="18" t="n"/>
      <c r="AI9" s="18" t="n"/>
      <c r="AJ9" s="18" t="n"/>
      <c r="AK9" s="18" t="n"/>
      <c r="AL9" s="18" t="n"/>
      <c r="AM9" s="18" t="n"/>
      <c r="AN9" s="46" t="n"/>
      <c r="AO9" s="18" t="n"/>
      <c r="AP9" s="18" t="n"/>
      <c r="AQ9" s="12">
        <f>IF($A9="","",IF(AR9&gt;0,"未入力","CSV可"))</f>
        <v/>
      </c>
      <c r="AR9">
        <f>IF($A9="","",IF($A9="",1,0)+IF($B9="",1,0)+IF($C9="",1,0)+IF($D9="",1,0)+IF($E9="",1,0)+IF($F9="",1,0)+IF($G9="",1,0)+IF($H9="",1,0)+IF($I9="",1,0)+IF($L9="",1,0)+IF(AND(OR(ISNUMBER(SEARCH("産前産後",$L9)),ISNUMBER(SEARCH("産休",$L9))),$M9=""),1,0)+IF(AND(OR(ISNUMBER(SEARCH("産前産後",$L9)),ISNUMBER(SEARCH("産休",$L9))),$P9=""),1,0)+IF(AND(OR(ISNUMBER(SEARCH("産前産後",$L9)),ISNUMBER(SEARCH("産休",$L9))),$Q9=""),1,0)+IF(AND(OR(ISNUMBER(SEARCH("産前産後",$L9)),ISNUMBER(SEARCH("産休",$L9))),$O9=""),1,0)+IF(AND(OR(ISNUMBER(SEARCH("産前産後",$L9)),ISNUMBER(SEARCH("産休",$L9))),$AB9=""),1,0)+IF(AND(OR(ISNUMBER(SEARCH("産前産後",$L9)),ISNUMBER(SEARCH("産休",$L9))),$AC9=""),1,0)+IF(AND(OR(ISNUMBER(SEARCH("産前産後",$L9)),ISNUMBER(SEARCH("産休",$L9))),$AF9=""),1,0)+IF(AND(OR(ISNUMBER(SEARCH("産前産後",$L9)),ISNUMBER(SEARCH("産休",$L9))),$AG9=""),1,0)+IF(AND(OR(ISNUMBER(SEARCH("産前産後",$L9)),ISNUMBER(SEARCH("産休",$L9))),$AJ9=""),1,0)+IF(AND(OR(ISNUMBER(SEARCH("育児休業",$L9)),ISNUMBER(SEARCH("育休",$L9))),$R9=""),1,0)+IF(AND(OR(ISNUMBER(SEARCH("育児休業",$L9)),ISNUMBER(SEARCH("育休",$L9))),$S9=""),1,0)+IF(AND(OR(ISNUMBER(SEARCH("育児休業",$L9)),ISNUMBER(SEARCH("育休",$L9))),$Z9=""),1,0)+IF(AND(OR(ISNUMBER(SEARCH("育児休業",$L9)),ISNUMBER(SEARCH("育休",$L9))),$AK9=""),1,0)+IF(AND(OR(ISNUMBER(SEARCH("育児休業",$L9)),ISNUMBER(SEARCH("育休",$L9))),$AL9=""),1,0)+IF(AND(OR(ISNUMBER(SEARCH("育児休業",$L9)),ISNUMBER(SEARCH("育休",$L9))),$AO9=""),1,0)+IF(AND($AH9="ある",$AI9=""),1,0))</f>
        <v/>
      </c>
    </row>
    <row r="10">
      <c r="A10" s="18" t="n"/>
      <c r="B10" s="18" t="n"/>
      <c r="C10" s="20" t="n"/>
      <c r="D10" s="46" t="n"/>
      <c r="E10" s="46" t="n"/>
      <c r="F10" s="46" t="n"/>
      <c r="G10" s="46" t="n"/>
      <c r="H10" s="18" t="n"/>
      <c r="I10" s="18" t="n"/>
      <c r="J10" s="18" t="n"/>
      <c r="K10" s="46" t="n"/>
      <c r="L10" s="18" t="n"/>
      <c r="M10" s="20" t="n"/>
      <c r="N10" s="20" t="n"/>
      <c r="O10" s="18" t="n"/>
      <c r="P10" s="20" t="n"/>
      <c r="Q10" s="20" t="n"/>
      <c r="R10" s="20" t="n"/>
      <c r="S10" s="20" t="n"/>
      <c r="T10" s="18" t="n"/>
      <c r="U10" s="47" t="n"/>
      <c r="V10" s="18" t="n"/>
      <c r="W10" s="20" t="n"/>
      <c r="X10" s="18" t="n"/>
      <c r="Y10" s="48" t="n"/>
      <c r="Z10" s="18" t="n"/>
      <c r="AA10" s="18" t="n"/>
      <c r="AB10" s="18" t="n"/>
      <c r="AC10" s="18" t="n"/>
      <c r="AD10" s="48" t="n"/>
      <c r="AE10" s="18" t="n"/>
      <c r="AF10" s="18" t="n"/>
      <c r="AG10" s="46" t="n"/>
      <c r="AH10" s="18" t="n"/>
      <c r="AI10" s="18" t="n"/>
      <c r="AJ10" s="18" t="n"/>
      <c r="AK10" s="18" t="n"/>
      <c r="AL10" s="18" t="n"/>
      <c r="AM10" s="18" t="n"/>
      <c r="AN10" s="46" t="n"/>
      <c r="AO10" s="18" t="n"/>
      <c r="AP10" s="18" t="n"/>
      <c r="AQ10" s="12">
        <f>IF($A10="","",IF(AR10&gt;0,"未入力","CSV可"))</f>
        <v/>
      </c>
      <c r="AR10">
        <f>IF($A10="","",IF($A10="",1,0)+IF($B10="",1,0)+IF($C10="",1,0)+IF($D10="",1,0)+IF($E10="",1,0)+IF($F10="",1,0)+IF($G10="",1,0)+IF($H10="",1,0)+IF($I10="",1,0)+IF($L10="",1,0)+IF(AND(OR(ISNUMBER(SEARCH("産前産後",$L10)),ISNUMBER(SEARCH("産休",$L10))),$M10=""),1,0)+IF(AND(OR(ISNUMBER(SEARCH("産前産後",$L10)),ISNUMBER(SEARCH("産休",$L10))),$P10=""),1,0)+IF(AND(OR(ISNUMBER(SEARCH("産前産後",$L10)),ISNUMBER(SEARCH("産休",$L10))),$Q10=""),1,0)+IF(AND(OR(ISNUMBER(SEARCH("産前産後",$L10)),ISNUMBER(SEARCH("産休",$L10))),$O10=""),1,0)+IF(AND(OR(ISNUMBER(SEARCH("産前産後",$L10)),ISNUMBER(SEARCH("産休",$L10))),$AB10=""),1,0)+IF(AND(OR(ISNUMBER(SEARCH("産前産後",$L10)),ISNUMBER(SEARCH("産休",$L10))),$AC10=""),1,0)+IF(AND(OR(ISNUMBER(SEARCH("産前産後",$L10)),ISNUMBER(SEARCH("産休",$L10))),$AF10=""),1,0)+IF(AND(OR(ISNUMBER(SEARCH("産前産後",$L10)),ISNUMBER(SEARCH("産休",$L10))),$AG10=""),1,0)+IF(AND(OR(ISNUMBER(SEARCH("産前産後",$L10)),ISNUMBER(SEARCH("産休",$L10))),$AJ10=""),1,0)+IF(AND(OR(ISNUMBER(SEARCH("育児休業",$L10)),ISNUMBER(SEARCH("育休",$L10))),$R10=""),1,0)+IF(AND(OR(ISNUMBER(SEARCH("育児休業",$L10)),ISNUMBER(SEARCH("育休",$L10))),$S10=""),1,0)+IF(AND(OR(ISNUMBER(SEARCH("育児休業",$L10)),ISNUMBER(SEARCH("育休",$L10))),$Z10=""),1,0)+IF(AND(OR(ISNUMBER(SEARCH("育児休業",$L10)),ISNUMBER(SEARCH("育休",$L10))),$AK10=""),1,0)+IF(AND(OR(ISNUMBER(SEARCH("育児休業",$L10)),ISNUMBER(SEARCH("育休",$L10))),$AL10=""),1,0)+IF(AND(OR(ISNUMBER(SEARCH("育児休業",$L10)),ISNUMBER(SEARCH("育休",$L10))),$AO10=""),1,0)+IF(AND($AH10="ある",$AI10=""),1,0))</f>
        <v/>
      </c>
    </row>
    <row r="11">
      <c r="A11" s="18" t="n"/>
      <c r="B11" s="18" t="n"/>
      <c r="C11" s="20" t="n"/>
      <c r="D11" s="46" t="n"/>
      <c r="E11" s="46" t="n"/>
      <c r="F11" s="46" t="n"/>
      <c r="G11" s="46" t="n"/>
      <c r="H11" s="18" t="n"/>
      <c r="I11" s="18" t="n"/>
      <c r="J11" s="18" t="n"/>
      <c r="K11" s="46" t="n"/>
      <c r="L11" s="18" t="n"/>
      <c r="M11" s="20" t="n"/>
      <c r="N11" s="20" t="n"/>
      <c r="O11" s="18" t="n"/>
      <c r="P11" s="20" t="n"/>
      <c r="Q11" s="20" t="n"/>
      <c r="R11" s="20" t="n"/>
      <c r="S11" s="20" t="n"/>
      <c r="T11" s="18" t="n"/>
      <c r="U11" s="47" t="n"/>
      <c r="V11" s="18" t="n"/>
      <c r="W11" s="20" t="n"/>
      <c r="X11" s="18" t="n"/>
      <c r="Y11" s="48" t="n"/>
      <c r="Z11" s="18" t="n"/>
      <c r="AA11" s="18" t="n"/>
      <c r="AB11" s="18" t="n"/>
      <c r="AC11" s="18" t="n"/>
      <c r="AD11" s="48" t="n"/>
      <c r="AE11" s="18" t="n"/>
      <c r="AF11" s="18" t="n"/>
      <c r="AG11" s="46" t="n"/>
      <c r="AH11" s="18" t="n"/>
      <c r="AI11" s="18" t="n"/>
      <c r="AJ11" s="18" t="n"/>
      <c r="AK11" s="18" t="n"/>
      <c r="AL11" s="18" t="n"/>
      <c r="AM11" s="18" t="n"/>
      <c r="AN11" s="46" t="n"/>
      <c r="AO11" s="18" t="n"/>
      <c r="AP11" s="18" t="n"/>
      <c r="AQ11" s="12">
        <f>IF($A11="","",IF(AR11&gt;0,"未入力","CSV可"))</f>
        <v/>
      </c>
      <c r="AR11">
        <f>IF($A11="","",IF($A11="",1,0)+IF($B11="",1,0)+IF($C11="",1,0)+IF($D11="",1,0)+IF($E11="",1,0)+IF($F11="",1,0)+IF($G11="",1,0)+IF($H11="",1,0)+IF($I11="",1,0)+IF($L11="",1,0)+IF(AND(OR(ISNUMBER(SEARCH("産前産後",$L11)),ISNUMBER(SEARCH("産休",$L11))),$M11=""),1,0)+IF(AND(OR(ISNUMBER(SEARCH("産前産後",$L11)),ISNUMBER(SEARCH("産休",$L11))),$P11=""),1,0)+IF(AND(OR(ISNUMBER(SEARCH("産前産後",$L11)),ISNUMBER(SEARCH("産休",$L11))),$Q11=""),1,0)+IF(AND(OR(ISNUMBER(SEARCH("産前産後",$L11)),ISNUMBER(SEARCH("産休",$L11))),$O11=""),1,0)+IF(AND(OR(ISNUMBER(SEARCH("産前産後",$L11)),ISNUMBER(SEARCH("産休",$L11))),$AB11=""),1,0)+IF(AND(OR(ISNUMBER(SEARCH("産前産後",$L11)),ISNUMBER(SEARCH("産休",$L11))),$AC11=""),1,0)+IF(AND(OR(ISNUMBER(SEARCH("産前産後",$L11)),ISNUMBER(SEARCH("産休",$L11))),$AF11=""),1,0)+IF(AND(OR(ISNUMBER(SEARCH("産前産後",$L11)),ISNUMBER(SEARCH("産休",$L11))),$AG11=""),1,0)+IF(AND(OR(ISNUMBER(SEARCH("産前産後",$L11)),ISNUMBER(SEARCH("産休",$L11))),$AJ11=""),1,0)+IF(AND(OR(ISNUMBER(SEARCH("育児休業",$L11)),ISNUMBER(SEARCH("育休",$L11))),$R11=""),1,0)+IF(AND(OR(ISNUMBER(SEARCH("育児休業",$L11)),ISNUMBER(SEARCH("育休",$L11))),$S11=""),1,0)+IF(AND(OR(ISNUMBER(SEARCH("育児休業",$L11)),ISNUMBER(SEARCH("育休",$L11))),$Z11=""),1,0)+IF(AND(OR(ISNUMBER(SEARCH("育児休業",$L11)),ISNUMBER(SEARCH("育休",$L11))),$AK11=""),1,0)+IF(AND(OR(ISNUMBER(SEARCH("育児休業",$L11)),ISNUMBER(SEARCH("育休",$L11))),$AL11=""),1,0)+IF(AND(OR(ISNUMBER(SEARCH("育児休業",$L11)),ISNUMBER(SEARCH("育休",$L11))),$AO11=""),1,0)+IF(AND($AH11="ある",$AI11=""),1,0))</f>
        <v/>
      </c>
    </row>
    <row r="12">
      <c r="A12" s="18" t="n"/>
      <c r="B12" s="18" t="n"/>
      <c r="C12" s="20" t="n"/>
      <c r="D12" s="46" t="n"/>
      <c r="E12" s="46" t="n"/>
      <c r="F12" s="46" t="n"/>
      <c r="G12" s="46" t="n"/>
      <c r="H12" s="18" t="n"/>
      <c r="I12" s="18" t="n"/>
      <c r="J12" s="18" t="n"/>
      <c r="K12" s="46" t="n"/>
      <c r="L12" s="18" t="n"/>
      <c r="M12" s="20" t="n"/>
      <c r="N12" s="20" t="n"/>
      <c r="O12" s="18" t="n"/>
      <c r="P12" s="20" t="n"/>
      <c r="Q12" s="20" t="n"/>
      <c r="R12" s="20" t="n"/>
      <c r="S12" s="20" t="n"/>
      <c r="T12" s="18" t="n"/>
      <c r="U12" s="47" t="n"/>
      <c r="V12" s="18" t="n"/>
      <c r="W12" s="20" t="n"/>
      <c r="X12" s="18" t="n"/>
      <c r="Y12" s="48" t="n"/>
      <c r="Z12" s="18" t="n"/>
      <c r="AA12" s="18" t="n"/>
      <c r="AB12" s="18" t="n"/>
      <c r="AC12" s="18" t="n"/>
      <c r="AD12" s="48" t="n"/>
      <c r="AE12" s="18" t="n"/>
      <c r="AF12" s="18" t="n"/>
      <c r="AG12" s="46" t="n"/>
      <c r="AH12" s="18" t="n"/>
      <c r="AI12" s="18" t="n"/>
      <c r="AJ12" s="18" t="n"/>
      <c r="AK12" s="18" t="n"/>
      <c r="AL12" s="18" t="n"/>
      <c r="AM12" s="18" t="n"/>
      <c r="AN12" s="46" t="n"/>
      <c r="AO12" s="18" t="n"/>
      <c r="AP12" s="18" t="n"/>
      <c r="AQ12" s="12">
        <f>IF($A12="","",IF(AR12&gt;0,"未入力","CSV可"))</f>
        <v/>
      </c>
      <c r="AR12">
        <f>IF($A12="","",IF($A12="",1,0)+IF($B12="",1,0)+IF($C12="",1,0)+IF($D12="",1,0)+IF($E12="",1,0)+IF($F12="",1,0)+IF($G12="",1,0)+IF($H12="",1,0)+IF($I12="",1,0)+IF($L12="",1,0)+IF(AND(OR(ISNUMBER(SEARCH("産前産後",$L12)),ISNUMBER(SEARCH("産休",$L12))),$M12=""),1,0)+IF(AND(OR(ISNUMBER(SEARCH("産前産後",$L12)),ISNUMBER(SEARCH("産休",$L12))),$P12=""),1,0)+IF(AND(OR(ISNUMBER(SEARCH("産前産後",$L12)),ISNUMBER(SEARCH("産休",$L12))),$Q12=""),1,0)+IF(AND(OR(ISNUMBER(SEARCH("産前産後",$L12)),ISNUMBER(SEARCH("産休",$L12))),$O12=""),1,0)+IF(AND(OR(ISNUMBER(SEARCH("産前産後",$L12)),ISNUMBER(SEARCH("産休",$L12))),$AB12=""),1,0)+IF(AND(OR(ISNUMBER(SEARCH("産前産後",$L12)),ISNUMBER(SEARCH("産休",$L12))),$AC12=""),1,0)+IF(AND(OR(ISNUMBER(SEARCH("産前産後",$L12)),ISNUMBER(SEARCH("産休",$L12))),$AF12=""),1,0)+IF(AND(OR(ISNUMBER(SEARCH("産前産後",$L12)),ISNUMBER(SEARCH("産休",$L12))),$AG12=""),1,0)+IF(AND(OR(ISNUMBER(SEARCH("産前産後",$L12)),ISNUMBER(SEARCH("産休",$L12))),$AJ12=""),1,0)+IF(AND(OR(ISNUMBER(SEARCH("育児休業",$L12)),ISNUMBER(SEARCH("育休",$L12))),$R12=""),1,0)+IF(AND(OR(ISNUMBER(SEARCH("育児休業",$L12)),ISNUMBER(SEARCH("育休",$L12))),$S12=""),1,0)+IF(AND(OR(ISNUMBER(SEARCH("育児休業",$L12)),ISNUMBER(SEARCH("育休",$L12))),$Z12=""),1,0)+IF(AND(OR(ISNUMBER(SEARCH("育児休業",$L12)),ISNUMBER(SEARCH("育休",$L12))),$AK12=""),1,0)+IF(AND(OR(ISNUMBER(SEARCH("育児休業",$L12)),ISNUMBER(SEARCH("育休",$L12))),$AL12=""),1,0)+IF(AND(OR(ISNUMBER(SEARCH("育児休業",$L12)),ISNUMBER(SEARCH("育休",$L12))),$AO12=""),1,0)+IF(AND($AH12="ある",$AI12=""),1,0))</f>
        <v/>
      </c>
    </row>
    <row r="13">
      <c r="A13" s="18" t="n"/>
      <c r="B13" s="18" t="n"/>
      <c r="C13" s="20" t="n"/>
      <c r="D13" s="46" t="n"/>
      <c r="E13" s="46" t="n"/>
      <c r="F13" s="46" t="n"/>
      <c r="G13" s="46" t="n"/>
      <c r="H13" s="18" t="n"/>
      <c r="I13" s="18" t="n"/>
      <c r="J13" s="18" t="n"/>
      <c r="K13" s="46" t="n"/>
      <c r="L13" s="18" t="n"/>
      <c r="M13" s="20" t="n"/>
      <c r="N13" s="20" t="n"/>
      <c r="O13" s="18" t="n"/>
      <c r="P13" s="20" t="n"/>
      <c r="Q13" s="20" t="n"/>
      <c r="R13" s="20" t="n"/>
      <c r="S13" s="20" t="n"/>
      <c r="T13" s="18" t="n"/>
      <c r="U13" s="47" t="n"/>
      <c r="V13" s="18" t="n"/>
      <c r="W13" s="20" t="n"/>
      <c r="X13" s="18" t="n"/>
      <c r="Y13" s="48" t="n"/>
      <c r="Z13" s="18" t="n"/>
      <c r="AA13" s="18" t="n"/>
      <c r="AB13" s="18" t="n"/>
      <c r="AC13" s="18" t="n"/>
      <c r="AD13" s="48" t="n"/>
      <c r="AE13" s="18" t="n"/>
      <c r="AF13" s="18" t="n"/>
      <c r="AG13" s="46" t="n"/>
      <c r="AH13" s="18" t="n"/>
      <c r="AI13" s="18" t="n"/>
      <c r="AJ13" s="18" t="n"/>
      <c r="AK13" s="18" t="n"/>
      <c r="AL13" s="18" t="n"/>
      <c r="AM13" s="18" t="n"/>
      <c r="AN13" s="46" t="n"/>
      <c r="AO13" s="18" t="n"/>
      <c r="AP13" s="18" t="n"/>
      <c r="AQ13" s="12">
        <f>IF($A13="","",IF(AR13&gt;0,"未入力","CSV可"))</f>
        <v/>
      </c>
      <c r="AR13">
        <f>IF($A13="","",IF($A13="",1,0)+IF($B13="",1,0)+IF($C13="",1,0)+IF($D13="",1,0)+IF($E13="",1,0)+IF($F13="",1,0)+IF($G13="",1,0)+IF($H13="",1,0)+IF($I13="",1,0)+IF($L13="",1,0)+IF(AND(OR(ISNUMBER(SEARCH("産前産後",$L13)),ISNUMBER(SEARCH("産休",$L13))),$M13=""),1,0)+IF(AND(OR(ISNUMBER(SEARCH("産前産後",$L13)),ISNUMBER(SEARCH("産休",$L13))),$P13=""),1,0)+IF(AND(OR(ISNUMBER(SEARCH("産前産後",$L13)),ISNUMBER(SEARCH("産休",$L13))),$Q13=""),1,0)+IF(AND(OR(ISNUMBER(SEARCH("産前産後",$L13)),ISNUMBER(SEARCH("産休",$L13))),$O13=""),1,0)+IF(AND(OR(ISNUMBER(SEARCH("産前産後",$L13)),ISNUMBER(SEARCH("産休",$L13))),$AB13=""),1,0)+IF(AND(OR(ISNUMBER(SEARCH("産前産後",$L13)),ISNUMBER(SEARCH("産休",$L13))),$AC13=""),1,0)+IF(AND(OR(ISNUMBER(SEARCH("産前産後",$L13)),ISNUMBER(SEARCH("産休",$L13))),$AF13=""),1,0)+IF(AND(OR(ISNUMBER(SEARCH("産前産後",$L13)),ISNUMBER(SEARCH("産休",$L13))),$AG13=""),1,0)+IF(AND(OR(ISNUMBER(SEARCH("産前産後",$L13)),ISNUMBER(SEARCH("産休",$L13))),$AJ13=""),1,0)+IF(AND(OR(ISNUMBER(SEARCH("育児休業",$L13)),ISNUMBER(SEARCH("育休",$L13))),$R13=""),1,0)+IF(AND(OR(ISNUMBER(SEARCH("育児休業",$L13)),ISNUMBER(SEARCH("育休",$L13))),$S13=""),1,0)+IF(AND(OR(ISNUMBER(SEARCH("育児休業",$L13)),ISNUMBER(SEARCH("育休",$L13))),$Z13=""),1,0)+IF(AND(OR(ISNUMBER(SEARCH("育児休業",$L13)),ISNUMBER(SEARCH("育休",$L13))),$AK13=""),1,0)+IF(AND(OR(ISNUMBER(SEARCH("育児休業",$L13)),ISNUMBER(SEARCH("育休",$L13))),$AL13=""),1,0)+IF(AND(OR(ISNUMBER(SEARCH("育児休業",$L13)),ISNUMBER(SEARCH("育休",$L13))),$AO13=""),1,0)+IF(AND($AH13="ある",$AI13=""),1,0))</f>
        <v/>
      </c>
    </row>
    <row r="14">
      <c r="A14" s="18" t="n"/>
      <c r="B14" s="18" t="n"/>
      <c r="C14" s="20" t="n"/>
      <c r="D14" s="46" t="n"/>
      <c r="E14" s="46" t="n"/>
      <c r="F14" s="46" t="n"/>
      <c r="G14" s="46" t="n"/>
      <c r="H14" s="18" t="n"/>
      <c r="I14" s="18" t="n"/>
      <c r="J14" s="18" t="n"/>
      <c r="K14" s="46" t="n"/>
      <c r="L14" s="18" t="n"/>
      <c r="M14" s="20" t="n"/>
      <c r="N14" s="20" t="n"/>
      <c r="O14" s="18" t="n"/>
      <c r="P14" s="20" t="n"/>
      <c r="Q14" s="20" t="n"/>
      <c r="R14" s="20" t="n"/>
      <c r="S14" s="20" t="n"/>
      <c r="T14" s="18" t="n"/>
      <c r="U14" s="47" t="n"/>
      <c r="V14" s="18" t="n"/>
      <c r="W14" s="20" t="n"/>
      <c r="X14" s="18" t="n"/>
      <c r="Y14" s="48" t="n"/>
      <c r="Z14" s="18" t="n"/>
      <c r="AA14" s="18" t="n"/>
      <c r="AB14" s="18" t="n"/>
      <c r="AC14" s="18" t="n"/>
      <c r="AD14" s="48" t="n"/>
      <c r="AE14" s="18" t="n"/>
      <c r="AF14" s="18" t="n"/>
      <c r="AG14" s="46" t="n"/>
      <c r="AH14" s="18" t="n"/>
      <c r="AI14" s="18" t="n"/>
      <c r="AJ14" s="18" t="n"/>
      <c r="AK14" s="18" t="n"/>
      <c r="AL14" s="18" t="n"/>
      <c r="AM14" s="18" t="n"/>
      <c r="AN14" s="46" t="n"/>
      <c r="AO14" s="18" t="n"/>
      <c r="AP14" s="18" t="n"/>
      <c r="AQ14" s="12">
        <f>IF($A14="","",IF(AR14&gt;0,"未入力","CSV可"))</f>
        <v/>
      </c>
      <c r="AR14">
        <f>IF($A14="","",IF($A14="",1,0)+IF($B14="",1,0)+IF($C14="",1,0)+IF($D14="",1,0)+IF($E14="",1,0)+IF($F14="",1,0)+IF($G14="",1,0)+IF($H14="",1,0)+IF($I14="",1,0)+IF($L14="",1,0)+IF(AND(OR(ISNUMBER(SEARCH("産前産後",$L14)),ISNUMBER(SEARCH("産休",$L14))),$M14=""),1,0)+IF(AND(OR(ISNUMBER(SEARCH("産前産後",$L14)),ISNUMBER(SEARCH("産休",$L14))),$P14=""),1,0)+IF(AND(OR(ISNUMBER(SEARCH("産前産後",$L14)),ISNUMBER(SEARCH("産休",$L14))),$Q14=""),1,0)+IF(AND(OR(ISNUMBER(SEARCH("産前産後",$L14)),ISNUMBER(SEARCH("産休",$L14))),$O14=""),1,0)+IF(AND(OR(ISNUMBER(SEARCH("産前産後",$L14)),ISNUMBER(SEARCH("産休",$L14))),$AB14=""),1,0)+IF(AND(OR(ISNUMBER(SEARCH("産前産後",$L14)),ISNUMBER(SEARCH("産休",$L14))),$AC14=""),1,0)+IF(AND(OR(ISNUMBER(SEARCH("産前産後",$L14)),ISNUMBER(SEARCH("産休",$L14))),$AF14=""),1,0)+IF(AND(OR(ISNUMBER(SEARCH("産前産後",$L14)),ISNUMBER(SEARCH("産休",$L14))),$AG14=""),1,0)+IF(AND(OR(ISNUMBER(SEARCH("産前産後",$L14)),ISNUMBER(SEARCH("産休",$L14))),$AJ14=""),1,0)+IF(AND(OR(ISNUMBER(SEARCH("育児休業",$L14)),ISNUMBER(SEARCH("育休",$L14))),$R14=""),1,0)+IF(AND(OR(ISNUMBER(SEARCH("育児休業",$L14)),ISNUMBER(SEARCH("育休",$L14))),$S14=""),1,0)+IF(AND(OR(ISNUMBER(SEARCH("育児休業",$L14)),ISNUMBER(SEARCH("育休",$L14))),$Z14=""),1,0)+IF(AND(OR(ISNUMBER(SEARCH("育児休業",$L14)),ISNUMBER(SEARCH("育休",$L14))),$AK14=""),1,0)+IF(AND(OR(ISNUMBER(SEARCH("育児休業",$L14)),ISNUMBER(SEARCH("育休",$L14))),$AL14=""),1,0)+IF(AND(OR(ISNUMBER(SEARCH("育児休業",$L14)),ISNUMBER(SEARCH("育休",$L14))),$AO14=""),1,0)+IF(AND($AH14="ある",$AI14=""),1,0))</f>
        <v/>
      </c>
    </row>
    <row r="15">
      <c r="A15" s="18" t="n"/>
      <c r="B15" s="18" t="n"/>
      <c r="C15" s="20" t="n"/>
      <c r="D15" s="46" t="n"/>
      <c r="E15" s="46" t="n"/>
      <c r="F15" s="46" t="n"/>
      <c r="G15" s="46" t="n"/>
      <c r="H15" s="18" t="n"/>
      <c r="I15" s="18" t="n"/>
      <c r="J15" s="18" t="n"/>
      <c r="K15" s="46" t="n"/>
      <c r="L15" s="18" t="n"/>
      <c r="M15" s="20" t="n"/>
      <c r="N15" s="20" t="n"/>
      <c r="O15" s="18" t="n"/>
      <c r="P15" s="20" t="n"/>
      <c r="Q15" s="20" t="n"/>
      <c r="R15" s="20" t="n"/>
      <c r="S15" s="20" t="n"/>
      <c r="T15" s="18" t="n"/>
      <c r="U15" s="47" t="n"/>
      <c r="V15" s="18" t="n"/>
      <c r="W15" s="20" t="n"/>
      <c r="X15" s="18" t="n"/>
      <c r="Y15" s="48" t="n"/>
      <c r="Z15" s="18" t="n"/>
      <c r="AA15" s="18" t="n"/>
      <c r="AB15" s="18" t="n"/>
      <c r="AC15" s="18" t="n"/>
      <c r="AD15" s="48" t="n"/>
      <c r="AE15" s="18" t="n"/>
      <c r="AF15" s="18" t="n"/>
      <c r="AG15" s="46" t="n"/>
      <c r="AH15" s="18" t="n"/>
      <c r="AI15" s="18" t="n"/>
      <c r="AJ15" s="18" t="n"/>
      <c r="AK15" s="18" t="n"/>
      <c r="AL15" s="18" t="n"/>
      <c r="AM15" s="18" t="n"/>
      <c r="AN15" s="46" t="n"/>
      <c r="AO15" s="18" t="n"/>
      <c r="AP15" s="18" t="n"/>
      <c r="AQ15" s="12">
        <f>IF($A15="","",IF(AR15&gt;0,"未入力","CSV可"))</f>
        <v/>
      </c>
      <c r="AR15">
        <f>IF($A15="","",IF($A15="",1,0)+IF($B15="",1,0)+IF($C15="",1,0)+IF($D15="",1,0)+IF($E15="",1,0)+IF($F15="",1,0)+IF($G15="",1,0)+IF($H15="",1,0)+IF($I15="",1,0)+IF($L15="",1,0)+IF(AND(OR(ISNUMBER(SEARCH("産前産後",$L15)),ISNUMBER(SEARCH("産休",$L15))),$M15=""),1,0)+IF(AND(OR(ISNUMBER(SEARCH("産前産後",$L15)),ISNUMBER(SEARCH("産休",$L15))),$P15=""),1,0)+IF(AND(OR(ISNUMBER(SEARCH("産前産後",$L15)),ISNUMBER(SEARCH("産休",$L15))),$Q15=""),1,0)+IF(AND(OR(ISNUMBER(SEARCH("産前産後",$L15)),ISNUMBER(SEARCH("産休",$L15))),$O15=""),1,0)+IF(AND(OR(ISNUMBER(SEARCH("産前産後",$L15)),ISNUMBER(SEARCH("産休",$L15))),$AB15=""),1,0)+IF(AND(OR(ISNUMBER(SEARCH("産前産後",$L15)),ISNUMBER(SEARCH("産休",$L15))),$AC15=""),1,0)+IF(AND(OR(ISNUMBER(SEARCH("産前産後",$L15)),ISNUMBER(SEARCH("産休",$L15))),$AF15=""),1,0)+IF(AND(OR(ISNUMBER(SEARCH("産前産後",$L15)),ISNUMBER(SEARCH("産休",$L15))),$AG15=""),1,0)+IF(AND(OR(ISNUMBER(SEARCH("産前産後",$L15)),ISNUMBER(SEARCH("産休",$L15))),$AJ15=""),1,0)+IF(AND(OR(ISNUMBER(SEARCH("育児休業",$L15)),ISNUMBER(SEARCH("育休",$L15))),$R15=""),1,0)+IF(AND(OR(ISNUMBER(SEARCH("育児休業",$L15)),ISNUMBER(SEARCH("育休",$L15))),$S15=""),1,0)+IF(AND(OR(ISNUMBER(SEARCH("育児休業",$L15)),ISNUMBER(SEARCH("育休",$L15))),$Z15=""),1,0)+IF(AND(OR(ISNUMBER(SEARCH("育児休業",$L15)),ISNUMBER(SEARCH("育休",$L15))),$AK15=""),1,0)+IF(AND(OR(ISNUMBER(SEARCH("育児休業",$L15)),ISNUMBER(SEARCH("育休",$L15))),$AL15=""),1,0)+IF(AND(OR(ISNUMBER(SEARCH("育児休業",$L15)),ISNUMBER(SEARCH("育休",$L15))),$AO15=""),1,0)+IF(AND($AH15="ある",$AI15=""),1,0))</f>
        <v/>
      </c>
    </row>
    <row r="16">
      <c r="A16" s="18" t="n"/>
      <c r="B16" s="18" t="n"/>
      <c r="C16" s="20" t="n"/>
      <c r="D16" s="46" t="n"/>
      <c r="E16" s="46" t="n"/>
      <c r="F16" s="46" t="n"/>
      <c r="G16" s="46" t="n"/>
      <c r="H16" s="18" t="n"/>
      <c r="I16" s="18" t="n"/>
      <c r="J16" s="18" t="n"/>
      <c r="K16" s="46" t="n"/>
      <c r="L16" s="18" t="n"/>
      <c r="M16" s="20" t="n"/>
      <c r="N16" s="20" t="n"/>
      <c r="O16" s="18" t="n"/>
      <c r="P16" s="20" t="n"/>
      <c r="Q16" s="20" t="n"/>
      <c r="R16" s="20" t="n"/>
      <c r="S16" s="20" t="n"/>
      <c r="T16" s="18" t="n"/>
      <c r="U16" s="47" t="n"/>
      <c r="V16" s="18" t="n"/>
      <c r="W16" s="20" t="n"/>
      <c r="X16" s="18" t="n"/>
      <c r="Y16" s="48" t="n"/>
      <c r="Z16" s="18" t="n"/>
      <c r="AA16" s="18" t="n"/>
      <c r="AB16" s="18" t="n"/>
      <c r="AC16" s="18" t="n"/>
      <c r="AD16" s="48" t="n"/>
      <c r="AE16" s="18" t="n"/>
      <c r="AF16" s="18" t="n"/>
      <c r="AG16" s="46" t="n"/>
      <c r="AH16" s="18" t="n"/>
      <c r="AI16" s="18" t="n"/>
      <c r="AJ16" s="18" t="n"/>
      <c r="AK16" s="18" t="n"/>
      <c r="AL16" s="18" t="n"/>
      <c r="AM16" s="18" t="n"/>
      <c r="AN16" s="46" t="n"/>
      <c r="AO16" s="18" t="n"/>
      <c r="AP16" s="18" t="n"/>
      <c r="AQ16" s="12">
        <f>IF($A16="","",IF(AR16&gt;0,"未入力","CSV可"))</f>
        <v/>
      </c>
      <c r="AR16">
        <f>IF($A16="","",IF($A16="",1,0)+IF($B16="",1,0)+IF($C16="",1,0)+IF($D16="",1,0)+IF($E16="",1,0)+IF($F16="",1,0)+IF($G16="",1,0)+IF($H16="",1,0)+IF($I16="",1,0)+IF($L16="",1,0)+IF(AND(OR(ISNUMBER(SEARCH("産前産後",$L16)),ISNUMBER(SEARCH("産休",$L16))),$M16=""),1,0)+IF(AND(OR(ISNUMBER(SEARCH("産前産後",$L16)),ISNUMBER(SEARCH("産休",$L16))),$P16=""),1,0)+IF(AND(OR(ISNUMBER(SEARCH("産前産後",$L16)),ISNUMBER(SEARCH("産休",$L16))),$Q16=""),1,0)+IF(AND(OR(ISNUMBER(SEARCH("産前産後",$L16)),ISNUMBER(SEARCH("産休",$L16))),$O16=""),1,0)+IF(AND(OR(ISNUMBER(SEARCH("産前産後",$L16)),ISNUMBER(SEARCH("産休",$L16))),$AB16=""),1,0)+IF(AND(OR(ISNUMBER(SEARCH("産前産後",$L16)),ISNUMBER(SEARCH("産休",$L16))),$AC16=""),1,0)+IF(AND(OR(ISNUMBER(SEARCH("産前産後",$L16)),ISNUMBER(SEARCH("産休",$L16))),$AF16=""),1,0)+IF(AND(OR(ISNUMBER(SEARCH("産前産後",$L16)),ISNUMBER(SEARCH("産休",$L16))),$AG16=""),1,0)+IF(AND(OR(ISNUMBER(SEARCH("産前産後",$L16)),ISNUMBER(SEARCH("産休",$L16))),$AJ16=""),1,0)+IF(AND(OR(ISNUMBER(SEARCH("育児休業",$L16)),ISNUMBER(SEARCH("育休",$L16))),$R16=""),1,0)+IF(AND(OR(ISNUMBER(SEARCH("育児休業",$L16)),ISNUMBER(SEARCH("育休",$L16))),$S16=""),1,0)+IF(AND(OR(ISNUMBER(SEARCH("育児休業",$L16)),ISNUMBER(SEARCH("育休",$L16))),$Z16=""),1,0)+IF(AND(OR(ISNUMBER(SEARCH("育児休業",$L16)),ISNUMBER(SEARCH("育休",$L16))),$AK16=""),1,0)+IF(AND(OR(ISNUMBER(SEARCH("育児休業",$L16)),ISNUMBER(SEARCH("育休",$L16))),$AL16=""),1,0)+IF(AND(OR(ISNUMBER(SEARCH("育児休業",$L16)),ISNUMBER(SEARCH("育休",$L16))),$AO16=""),1,0)+IF(AND($AH16="ある",$AI16=""),1,0))</f>
        <v/>
      </c>
    </row>
    <row r="17">
      <c r="A17" s="18" t="n"/>
      <c r="B17" s="18" t="n"/>
      <c r="C17" s="20" t="n"/>
      <c r="D17" s="46" t="n"/>
      <c r="E17" s="46" t="n"/>
      <c r="F17" s="46" t="n"/>
      <c r="G17" s="46" t="n"/>
      <c r="H17" s="18" t="n"/>
      <c r="I17" s="18" t="n"/>
      <c r="J17" s="18" t="n"/>
      <c r="K17" s="46" t="n"/>
      <c r="L17" s="18" t="n"/>
      <c r="M17" s="20" t="n"/>
      <c r="N17" s="20" t="n"/>
      <c r="O17" s="18" t="n"/>
      <c r="P17" s="20" t="n"/>
      <c r="Q17" s="20" t="n"/>
      <c r="R17" s="20" t="n"/>
      <c r="S17" s="20" t="n"/>
      <c r="T17" s="18" t="n"/>
      <c r="U17" s="47" t="n"/>
      <c r="V17" s="18" t="n"/>
      <c r="W17" s="20" t="n"/>
      <c r="X17" s="18" t="n"/>
      <c r="Y17" s="48" t="n"/>
      <c r="Z17" s="18" t="n"/>
      <c r="AA17" s="18" t="n"/>
      <c r="AB17" s="18" t="n"/>
      <c r="AC17" s="18" t="n"/>
      <c r="AD17" s="48" t="n"/>
      <c r="AE17" s="18" t="n"/>
      <c r="AF17" s="18" t="n"/>
      <c r="AG17" s="46" t="n"/>
      <c r="AH17" s="18" t="n"/>
      <c r="AI17" s="18" t="n"/>
      <c r="AJ17" s="18" t="n"/>
      <c r="AK17" s="18" t="n"/>
      <c r="AL17" s="18" t="n"/>
      <c r="AM17" s="18" t="n"/>
      <c r="AN17" s="46" t="n"/>
      <c r="AO17" s="18" t="n"/>
      <c r="AP17" s="18" t="n"/>
      <c r="AQ17" s="12">
        <f>IF($A17="","",IF(AR17&gt;0,"未入力","CSV可"))</f>
        <v/>
      </c>
      <c r="AR17">
        <f>IF($A17="","",IF($A17="",1,0)+IF($B17="",1,0)+IF($C17="",1,0)+IF($D17="",1,0)+IF($E17="",1,0)+IF($F17="",1,0)+IF($G17="",1,0)+IF($H17="",1,0)+IF($I17="",1,0)+IF($L17="",1,0)+IF(AND(OR(ISNUMBER(SEARCH("産前産後",$L17)),ISNUMBER(SEARCH("産休",$L17))),$M17=""),1,0)+IF(AND(OR(ISNUMBER(SEARCH("産前産後",$L17)),ISNUMBER(SEARCH("産休",$L17))),$P17=""),1,0)+IF(AND(OR(ISNUMBER(SEARCH("産前産後",$L17)),ISNUMBER(SEARCH("産休",$L17))),$Q17=""),1,0)+IF(AND(OR(ISNUMBER(SEARCH("産前産後",$L17)),ISNUMBER(SEARCH("産休",$L17))),$O17=""),1,0)+IF(AND(OR(ISNUMBER(SEARCH("産前産後",$L17)),ISNUMBER(SEARCH("産休",$L17))),$AB17=""),1,0)+IF(AND(OR(ISNUMBER(SEARCH("産前産後",$L17)),ISNUMBER(SEARCH("産休",$L17))),$AC17=""),1,0)+IF(AND(OR(ISNUMBER(SEARCH("産前産後",$L17)),ISNUMBER(SEARCH("産休",$L17))),$AF17=""),1,0)+IF(AND(OR(ISNUMBER(SEARCH("産前産後",$L17)),ISNUMBER(SEARCH("産休",$L17))),$AG17=""),1,0)+IF(AND(OR(ISNUMBER(SEARCH("産前産後",$L17)),ISNUMBER(SEARCH("産休",$L17))),$AJ17=""),1,0)+IF(AND(OR(ISNUMBER(SEARCH("育児休業",$L17)),ISNUMBER(SEARCH("育休",$L17))),$R17=""),1,0)+IF(AND(OR(ISNUMBER(SEARCH("育児休業",$L17)),ISNUMBER(SEARCH("育休",$L17))),$S17=""),1,0)+IF(AND(OR(ISNUMBER(SEARCH("育児休業",$L17)),ISNUMBER(SEARCH("育休",$L17))),$Z17=""),1,0)+IF(AND(OR(ISNUMBER(SEARCH("育児休業",$L17)),ISNUMBER(SEARCH("育休",$L17))),$AK17=""),1,0)+IF(AND(OR(ISNUMBER(SEARCH("育児休業",$L17)),ISNUMBER(SEARCH("育休",$L17))),$AL17=""),1,0)+IF(AND(OR(ISNUMBER(SEARCH("育児休業",$L17)),ISNUMBER(SEARCH("育休",$L17))),$AO17=""),1,0)+IF(AND($AH17="ある",$AI17=""),1,0))</f>
        <v/>
      </c>
    </row>
    <row r="18">
      <c r="A18" s="18" t="n"/>
      <c r="B18" s="18" t="n"/>
      <c r="C18" s="20" t="n"/>
      <c r="D18" s="46" t="n"/>
      <c r="E18" s="46" t="n"/>
      <c r="F18" s="46" t="n"/>
      <c r="G18" s="46" t="n"/>
      <c r="H18" s="18" t="n"/>
      <c r="I18" s="18" t="n"/>
      <c r="J18" s="18" t="n"/>
      <c r="K18" s="46" t="n"/>
      <c r="L18" s="18" t="n"/>
      <c r="M18" s="20" t="n"/>
      <c r="N18" s="20" t="n"/>
      <c r="O18" s="18" t="n"/>
      <c r="P18" s="20" t="n"/>
      <c r="Q18" s="20" t="n"/>
      <c r="R18" s="20" t="n"/>
      <c r="S18" s="20" t="n"/>
      <c r="T18" s="18" t="n"/>
      <c r="U18" s="47" t="n"/>
      <c r="V18" s="18" t="n"/>
      <c r="W18" s="20" t="n"/>
      <c r="X18" s="18" t="n"/>
      <c r="Y18" s="48" t="n"/>
      <c r="Z18" s="18" t="n"/>
      <c r="AA18" s="18" t="n"/>
      <c r="AB18" s="18" t="n"/>
      <c r="AC18" s="18" t="n"/>
      <c r="AD18" s="48" t="n"/>
      <c r="AE18" s="18" t="n"/>
      <c r="AF18" s="18" t="n"/>
      <c r="AG18" s="46" t="n"/>
      <c r="AH18" s="18" t="n"/>
      <c r="AI18" s="18" t="n"/>
      <c r="AJ18" s="18" t="n"/>
      <c r="AK18" s="18" t="n"/>
      <c r="AL18" s="18" t="n"/>
      <c r="AM18" s="18" t="n"/>
      <c r="AN18" s="46" t="n"/>
      <c r="AO18" s="18" t="n"/>
      <c r="AP18" s="18" t="n"/>
      <c r="AQ18" s="12">
        <f>IF($A18="","",IF(AR18&gt;0,"未入力","CSV可"))</f>
        <v/>
      </c>
      <c r="AR18">
        <f>IF($A18="","",IF($A18="",1,0)+IF($B18="",1,0)+IF($C18="",1,0)+IF($D18="",1,0)+IF($E18="",1,0)+IF($F18="",1,0)+IF($G18="",1,0)+IF($H18="",1,0)+IF($I18="",1,0)+IF($L18="",1,0)+IF(AND(OR(ISNUMBER(SEARCH("産前産後",$L18)),ISNUMBER(SEARCH("産休",$L18))),$M18=""),1,0)+IF(AND(OR(ISNUMBER(SEARCH("産前産後",$L18)),ISNUMBER(SEARCH("産休",$L18))),$P18=""),1,0)+IF(AND(OR(ISNUMBER(SEARCH("産前産後",$L18)),ISNUMBER(SEARCH("産休",$L18))),$Q18=""),1,0)+IF(AND(OR(ISNUMBER(SEARCH("産前産後",$L18)),ISNUMBER(SEARCH("産休",$L18))),$O18=""),1,0)+IF(AND(OR(ISNUMBER(SEARCH("産前産後",$L18)),ISNUMBER(SEARCH("産休",$L18))),$AB18=""),1,0)+IF(AND(OR(ISNUMBER(SEARCH("産前産後",$L18)),ISNUMBER(SEARCH("産休",$L18))),$AC18=""),1,0)+IF(AND(OR(ISNUMBER(SEARCH("産前産後",$L18)),ISNUMBER(SEARCH("産休",$L18))),$AF18=""),1,0)+IF(AND(OR(ISNUMBER(SEARCH("産前産後",$L18)),ISNUMBER(SEARCH("産休",$L18))),$AG18=""),1,0)+IF(AND(OR(ISNUMBER(SEARCH("産前産後",$L18)),ISNUMBER(SEARCH("産休",$L18))),$AJ18=""),1,0)+IF(AND(OR(ISNUMBER(SEARCH("育児休業",$L18)),ISNUMBER(SEARCH("育休",$L18))),$R18=""),1,0)+IF(AND(OR(ISNUMBER(SEARCH("育児休業",$L18)),ISNUMBER(SEARCH("育休",$L18))),$S18=""),1,0)+IF(AND(OR(ISNUMBER(SEARCH("育児休業",$L18)),ISNUMBER(SEARCH("育休",$L18))),$Z18=""),1,0)+IF(AND(OR(ISNUMBER(SEARCH("育児休業",$L18)),ISNUMBER(SEARCH("育休",$L18))),$AK18=""),1,0)+IF(AND(OR(ISNUMBER(SEARCH("育児休業",$L18)),ISNUMBER(SEARCH("育休",$L18))),$AL18=""),1,0)+IF(AND(OR(ISNUMBER(SEARCH("育児休業",$L18)),ISNUMBER(SEARCH("育休",$L18))),$AO18=""),1,0)+IF(AND($AH18="ある",$AI18=""),1,0))</f>
        <v/>
      </c>
    </row>
    <row r="19">
      <c r="A19" s="18" t="n"/>
      <c r="B19" s="18" t="n"/>
      <c r="C19" s="20" t="n"/>
      <c r="D19" s="46" t="n"/>
      <c r="E19" s="46" t="n"/>
      <c r="F19" s="46" t="n"/>
      <c r="G19" s="46" t="n"/>
      <c r="H19" s="18" t="n"/>
      <c r="I19" s="18" t="n"/>
      <c r="J19" s="18" t="n"/>
      <c r="K19" s="46" t="n"/>
      <c r="L19" s="18" t="n"/>
      <c r="M19" s="20" t="n"/>
      <c r="N19" s="20" t="n"/>
      <c r="O19" s="18" t="n"/>
      <c r="P19" s="20" t="n"/>
      <c r="Q19" s="20" t="n"/>
      <c r="R19" s="20" t="n"/>
      <c r="S19" s="20" t="n"/>
      <c r="T19" s="18" t="n"/>
      <c r="U19" s="47" t="n"/>
      <c r="V19" s="18" t="n"/>
      <c r="W19" s="20" t="n"/>
      <c r="X19" s="18" t="n"/>
      <c r="Y19" s="48" t="n"/>
      <c r="Z19" s="18" t="n"/>
      <c r="AA19" s="18" t="n"/>
      <c r="AB19" s="18" t="n"/>
      <c r="AC19" s="18" t="n"/>
      <c r="AD19" s="48" t="n"/>
      <c r="AE19" s="18" t="n"/>
      <c r="AF19" s="18" t="n"/>
      <c r="AG19" s="46" t="n"/>
      <c r="AH19" s="18" t="n"/>
      <c r="AI19" s="18" t="n"/>
      <c r="AJ19" s="18" t="n"/>
      <c r="AK19" s="18" t="n"/>
      <c r="AL19" s="18" t="n"/>
      <c r="AM19" s="18" t="n"/>
      <c r="AN19" s="46" t="n"/>
      <c r="AO19" s="18" t="n"/>
      <c r="AP19" s="18" t="n"/>
      <c r="AQ19" s="12">
        <f>IF($A19="","",IF(AR19&gt;0,"未入力","CSV可"))</f>
        <v/>
      </c>
      <c r="AR19">
        <f>IF($A19="","",IF($A19="",1,0)+IF($B19="",1,0)+IF($C19="",1,0)+IF($D19="",1,0)+IF($E19="",1,0)+IF($F19="",1,0)+IF($G19="",1,0)+IF($H19="",1,0)+IF($I19="",1,0)+IF($L19="",1,0)+IF(AND(OR(ISNUMBER(SEARCH("産前産後",$L19)),ISNUMBER(SEARCH("産休",$L19))),$M19=""),1,0)+IF(AND(OR(ISNUMBER(SEARCH("産前産後",$L19)),ISNUMBER(SEARCH("産休",$L19))),$P19=""),1,0)+IF(AND(OR(ISNUMBER(SEARCH("産前産後",$L19)),ISNUMBER(SEARCH("産休",$L19))),$Q19=""),1,0)+IF(AND(OR(ISNUMBER(SEARCH("産前産後",$L19)),ISNUMBER(SEARCH("産休",$L19))),$O19=""),1,0)+IF(AND(OR(ISNUMBER(SEARCH("産前産後",$L19)),ISNUMBER(SEARCH("産休",$L19))),$AB19=""),1,0)+IF(AND(OR(ISNUMBER(SEARCH("産前産後",$L19)),ISNUMBER(SEARCH("産休",$L19))),$AC19=""),1,0)+IF(AND(OR(ISNUMBER(SEARCH("産前産後",$L19)),ISNUMBER(SEARCH("産休",$L19))),$AF19=""),1,0)+IF(AND(OR(ISNUMBER(SEARCH("産前産後",$L19)),ISNUMBER(SEARCH("産休",$L19))),$AG19=""),1,0)+IF(AND(OR(ISNUMBER(SEARCH("産前産後",$L19)),ISNUMBER(SEARCH("産休",$L19))),$AJ19=""),1,0)+IF(AND(OR(ISNUMBER(SEARCH("育児休業",$L19)),ISNUMBER(SEARCH("育休",$L19))),$R19=""),1,0)+IF(AND(OR(ISNUMBER(SEARCH("育児休業",$L19)),ISNUMBER(SEARCH("育休",$L19))),$S19=""),1,0)+IF(AND(OR(ISNUMBER(SEARCH("育児休業",$L19)),ISNUMBER(SEARCH("育休",$L19))),$Z19=""),1,0)+IF(AND(OR(ISNUMBER(SEARCH("育児休業",$L19)),ISNUMBER(SEARCH("育休",$L19))),$AK19=""),1,0)+IF(AND(OR(ISNUMBER(SEARCH("育児休業",$L19)),ISNUMBER(SEARCH("育休",$L19))),$AL19=""),1,0)+IF(AND(OR(ISNUMBER(SEARCH("育児休業",$L19)),ISNUMBER(SEARCH("育休",$L19))),$AO19=""),1,0)+IF(AND($AH19="ある",$AI19=""),1,0))</f>
        <v/>
      </c>
    </row>
    <row r="20">
      <c r="A20" s="18" t="n"/>
      <c r="B20" s="18" t="n"/>
      <c r="C20" s="20" t="n"/>
      <c r="D20" s="46" t="n"/>
      <c r="E20" s="46" t="n"/>
      <c r="F20" s="46" t="n"/>
      <c r="G20" s="46" t="n"/>
      <c r="H20" s="18" t="n"/>
      <c r="I20" s="18" t="n"/>
      <c r="J20" s="18" t="n"/>
      <c r="K20" s="46" t="n"/>
      <c r="L20" s="18" t="n"/>
      <c r="M20" s="20" t="n"/>
      <c r="N20" s="20" t="n"/>
      <c r="O20" s="18" t="n"/>
      <c r="P20" s="20" t="n"/>
      <c r="Q20" s="20" t="n"/>
      <c r="R20" s="20" t="n"/>
      <c r="S20" s="20" t="n"/>
      <c r="T20" s="18" t="n"/>
      <c r="U20" s="47" t="n"/>
      <c r="V20" s="18" t="n"/>
      <c r="W20" s="20" t="n"/>
      <c r="X20" s="18" t="n"/>
      <c r="Y20" s="48" t="n"/>
      <c r="Z20" s="18" t="n"/>
      <c r="AA20" s="18" t="n"/>
      <c r="AB20" s="18" t="n"/>
      <c r="AC20" s="18" t="n"/>
      <c r="AD20" s="48" t="n"/>
      <c r="AE20" s="18" t="n"/>
      <c r="AF20" s="18" t="n"/>
      <c r="AG20" s="46" t="n"/>
      <c r="AH20" s="18" t="n"/>
      <c r="AI20" s="18" t="n"/>
      <c r="AJ20" s="18" t="n"/>
      <c r="AK20" s="18" t="n"/>
      <c r="AL20" s="18" t="n"/>
      <c r="AM20" s="18" t="n"/>
      <c r="AN20" s="46" t="n"/>
      <c r="AO20" s="18" t="n"/>
      <c r="AP20" s="18" t="n"/>
      <c r="AQ20" s="12">
        <f>IF($A20="","",IF(AR20&gt;0,"未入力","CSV可"))</f>
        <v/>
      </c>
      <c r="AR20">
        <f>IF($A20="","",IF($A20="",1,0)+IF($B20="",1,0)+IF($C20="",1,0)+IF($D20="",1,0)+IF($E20="",1,0)+IF($F20="",1,0)+IF($G20="",1,0)+IF($H20="",1,0)+IF($I20="",1,0)+IF($L20="",1,0)+IF(AND(OR(ISNUMBER(SEARCH("産前産後",$L20)),ISNUMBER(SEARCH("産休",$L20))),$M20=""),1,0)+IF(AND(OR(ISNUMBER(SEARCH("産前産後",$L20)),ISNUMBER(SEARCH("産休",$L20))),$P20=""),1,0)+IF(AND(OR(ISNUMBER(SEARCH("産前産後",$L20)),ISNUMBER(SEARCH("産休",$L20))),$Q20=""),1,0)+IF(AND(OR(ISNUMBER(SEARCH("産前産後",$L20)),ISNUMBER(SEARCH("産休",$L20))),$O20=""),1,0)+IF(AND(OR(ISNUMBER(SEARCH("産前産後",$L20)),ISNUMBER(SEARCH("産休",$L20))),$AB20=""),1,0)+IF(AND(OR(ISNUMBER(SEARCH("産前産後",$L20)),ISNUMBER(SEARCH("産休",$L20))),$AC20=""),1,0)+IF(AND(OR(ISNUMBER(SEARCH("産前産後",$L20)),ISNUMBER(SEARCH("産休",$L20))),$AF20=""),1,0)+IF(AND(OR(ISNUMBER(SEARCH("産前産後",$L20)),ISNUMBER(SEARCH("産休",$L20))),$AG20=""),1,0)+IF(AND(OR(ISNUMBER(SEARCH("産前産後",$L20)),ISNUMBER(SEARCH("産休",$L20))),$AJ20=""),1,0)+IF(AND(OR(ISNUMBER(SEARCH("育児休業",$L20)),ISNUMBER(SEARCH("育休",$L20))),$R20=""),1,0)+IF(AND(OR(ISNUMBER(SEARCH("育児休業",$L20)),ISNUMBER(SEARCH("育休",$L20))),$S20=""),1,0)+IF(AND(OR(ISNUMBER(SEARCH("育児休業",$L20)),ISNUMBER(SEARCH("育休",$L20))),$Z20=""),1,0)+IF(AND(OR(ISNUMBER(SEARCH("育児休業",$L20)),ISNUMBER(SEARCH("育休",$L20))),$AK20=""),1,0)+IF(AND(OR(ISNUMBER(SEARCH("育児休業",$L20)),ISNUMBER(SEARCH("育休",$L20))),$AL20=""),1,0)+IF(AND(OR(ISNUMBER(SEARCH("育児休業",$L20)),ISNUMBER(SEARCH("育休",$L20))),$AO20=""),1,0)+IF(AND($AH20="ある",$AI20=""),1,0))</f>
        <v/>
      </c>
    </row>
    <row r="21">
      <c r="A21" s="18" t="n"/>
      <c r="B21" s="18" t="n"/>
      <c r="C21" s="20" t="n"/>
      <c r="D21" s="46" t="n"/>
      <c r="E21" s="46" t="n"/>
      <c r="F21" s="46" t="n"/>
      <c r="G21" s="46" t="n"/>
      <c r="H21" s="18" t="n"/>
      <c r="I21" s="18" t="n"/>
      <c r="J21" s="18" t="n"/>
      <c r="K21" s="46" t="n"/>
      <c r="L21" s="18" t="n"/>
      <c r="M21" s="20" t="n"/>
      <c r="N21" s="20" t="n"/>
      <c r="O21" s="18" t="n"/>
      <c r="P21" s="20" t="n"/>
      <c r="Q21" s="20" t="n"/>
      <c r="R21" s="20" t="n"/>
      <c r="S21" s="20" t="n"/>
      <c r="T21" s="18" t="n"/>
      <c r="U21" s="47" t="n"/>
      <c r="V21" s="18" t="n"/>
      <c r="W21" s="20" t="n"/>
      <c r="X21" s="18" t="n"/>
      <c r="Y21" s="48" t="n"/>
      <c r="Z21" s="18" t="n"/>
      <c r="AA21" s="18" t="n"/>
      <c r="AB21" s="18" t="n"/>
      <c r="AC21" s="18" t="n"/>
      <c r="AD21" s="48" t="n"/>
      <c r="AE21" s="18" t="n"/>
      <c r="AF21" s="18" t="n"/>
      <c r="AG21" s="46" t="n"/>
      <c r="AH21" s="18" t="n"/>
      <c r="AI21" s="18" t="n"/>
      <c r="AJ21" s="18" t="n"/>
      <c r="AK21" s="18" t="n"/>
      <c r="AL21" s="18" t="n"/>
      <c r="AM21" s="18" t="n"/>
      <c r="AN21" s="46" t="n"/>
      <c r="AO21" s="18" t="n"/>
      <c r="AP21" s="18" t="n"/>
      <c r="AQ21" s="12">
        <f>IF($A21="","",IF(AR21&gt;0,"未入力","CSV可"))</f>
        <v/>
      </c>
      <c r="AR21">
        <f>IF($A21="","",IF($A21="",1,0)+IF($B21="",1,0)+IF($C21="",1,0)+IF($D21="",1,0)+IF($E21="",1,0)+IF($F21="",1,0)+IF($G21="",1,0)+IF($H21="",1,0)+IF($I21="",1,0)+IF($L21="",1,0)+IF(AND(OR(ISNUMBER(SEARCH("産前産後",$L21)),ISNUMBER(SEARCH("産休",$L21))),$M21=""),1,0)+IF(AND(OR(ISNUMBER(SEARCH("産前産後",$L21)),ISNUMBER(SEARCH("産休",$L21))),$P21=""),1,0)+IF(AND(OR(ISNUMBER(SEARCH("産前産後",$L21)),ISNUMBER(SEARCH("産休",$L21))),$Q21=""),1,0)+IF(AND(OR(ISNUMBER(SEARCH("産前産後",$L21)),ISNUMBER(SEARCH("産休",$L21))),$O21=""),1,0)+IF(AND(OR(ISNUMBER(SEARCH("産前産後",$L21)),ISNUMBER(SEARCH("産休",$L21))),$AB21=""),1,0)+IF(AND(OR(ISNUMBER(SEARCH("産前産後",$L21)),ISNUMBER(SEARCH("産休",$L21))),$AC21=""),1,0)+IF(AND(OR(ISNUMBER(SEARCH("産前産後",$L21)),ISNUMBER(SEARCH("産休",$L21))),$AF21=""),1,0)+IF(AND(OR(ISNUMBER(SEARCH("産前産後",$L21)),ISNUMBER(SEARCH("産休",$L21))),$AG21=""),1,0)+IF(AND(OR(ISNUMBER(SEARCH("産前産後",$L21)),ISNUMBER(SEARCH("産休",$L21))),$AJ21=""),1,0)+IF(AND(OR(ISNUMBER(SEARCH("育児休業",$L21)),ISNUMBER(SEARCH("育休",$L21))),$R21=""),1,0)+IF(AND(OR(ISNUMBER(SEARCH("育児休業",$L21)),ISNUMBER(SEARCH("育休",$L21))),$S21=""),1,0)+IF(AND(OR(ISNUMBER(SEARCH("育児休業",$L21)),ISNUMBER(SEARCH("育休",$L21))),$Z21=""),1,0)+IF(AND(OR(ISNUMBER(SEARCH("育児休業",$L21)),ISNUMBER(SEARCH("育休",$L21))),$AK21=""),1,0)+IF(AND(OR(ISNUMBER(SEARCH("育児休業",$L21)),ISNUMBER(SEARCH("育休",$L21))),$AL21=""),1,0)+IF(AND(OR(ISNUMBER(SEARCH("育児休業",$L21)),ISNUMBER(SEARCH("育休",$L21))),$AO21=""),1,0)+IF(AND($AH21="ある",$AI21=""),1,0))</f>
        <v/>
      </c>
    </row>
    <row r="22">
      <c r="A22" s="18" t="n"/>
      <c r="B22" s="18" t="n"/>
      <c r="C22" s="20" t="n"/>
      <c r="D22" s="46" t="n"/>
      <c r="E22" s="46" t="n"/>
      <c r="F22" s="46" t="n"/>
      <c r="G22" s="46" t="n"/>
      <c r="H22" s="18" t="n"/>
      <c r="I22" s="18" t="n"/>
      <c r="J22" s="18" t="n"/>
      <c r="K22" s="46" t="n"/>
      <c r="L22" s="18" t="n"/>
      <c r="M22" s="20" t="n"/>
      <c r="N22" s="20" t="n"/>
      <c r="O22" s="18" t="n"/>
      <c r="P22" s="20" t="n"/>
      <c r="Q22" s="20" t="n"/>
      <c r="R22" s="20" t="n"/>
      <c r="S22" s="20" t="n"/>
      <c r="T22" s="18" t="n"/>
      <c r="U22" s="47" t="n"/>
      <c r="V22" s="18" t="n"/>
      <c r="W22" s="20" t="n"/>
      <c r="X22" s="18" t="n"/>
      <c r="Y22" s="48" t="n"/>
      <c r="Z22" s="18" t="n"/>
      <c r="AA22" s="18" t="n"/>
      <c r="AB22" s="18" t="n"/>
      <c r="AC22" s="18" t="n"/>
      <c r="AD22" s="48" t="n"/>
      <c r="AE22" s="18" t="n"/>
      <c r="AF22" s="18" t="n"/>
      <c r="AG22" s="46" t="n"/>
      <c r="AH22" s="18" t="n"/>
      <c r="AI22" s="18" t="n"/>
      <c r="AJ22" s="18" t="n"/>
      <c r="AK22" s="18" t="n"/>
      <c r="AL22" s="18" t="n"/>
      <c r="AM22" s="18" t="n"/>
      <c r="AN22" s="46" t="n"/>
      <c r="AO22" s="18" t="n"/>
      <c r="AP22" s="18" t="n"/>
      <c r="AQ22" s="12">
        <f>IF($A22="","",IF(AR22&gt;0,"未入力","CSV可"))</f>
        <v/>
      </c>
      <c r="AR22">
        <f>IF($A22="","",IF($A22="",1,0)+IF($B22="",1,0)+IF($C22="",1,0)+IF($D22="",1,0)+IF($E22="",1,0)+IF($F22="",1,0)+IF($G22="",1,0)+IF($H22="",1,0)+IF($I22="",1,0)+IF($L22="",1,0)+IF(AND(OR(ISNUMBER(SEARCH("産前産後",$L22)),ISNUMBER(SEARCH("産休",$L22))),$M22=""),1,0)+IF(AND(OR(ISNUMBER(SEARCH("産前産後",$L22)),ISNUMBER(SEARCH("産休",$L22))),$P22=""),1,0)+IF(AND(OR(ISNUMBER(SEARCH("産前産後",$L22)),ISNUMBER(SEARCH("産休",$L22))),$Q22=""),1,0)+IF(AND(OR(ISNUMBER(SEARCH("産前産後",$L22)),ISNUMBER(SEARCH("産休",$L22))),$O22=""),1,0)+IF(AND(OR(ISNUMBER(SEARCH("産前産後",$L22)),ISNUMBER(SEARCH("産休",$L22))),$AB22=""),1,0)+IF(AND(OR(ISNUMBER(SEARCH("産前産後",$L22)),ISNUMBER(SEARCH("産休",$L22))),$AC22=""),1,0)+IF(AND(OR(ISNUMBER(SEARCH("産前産後",$L22)),ISNUMBER(SEARCH("産休",$L22))),$AF22=""),1,0)+IF(AND(OR(ISNUMBER(SEARCH("産前産後",$L22)),ISNUMBER(SEARCH("産休",$L22))),$AG22=""),1,0)+IF(AND(OR(ISNUMBER(SEARCH("産前産後",$L22)),ISNUMBER(SEARCH("産休",$L22))),$AJ22=""),1,0)+IF(AND(OR(ISNUMBER(SEARCH("育児休業",$L22)),ISNUMBER(SEARCH("育休",$L22))),$R22=""),1,0)+IF(AND(OR(ISNUMBER(SEARCH("育児休業",$L22)),ISNUMBER(SEARCH("育休",$L22))),$S22=""),1,0)+IF(AND(OR(ISNUMBER(SEARCH("育児休業",$L22)),ISNUMBER(SEARCH("育休",$L22))),$Z22=""),1,0)+IF(AND(OR(ISNUMBER(SEARCH("育児休業",$L22)),ISNUMBER(SEARCH("育休",$L22))),$AK22=""),1,0)+IF(AND(OR(ISNUMBER(SEARCH("育児休業",$L22)),ISNUMBER(SEARCH("育休",$L22))),$AL22=""),1,0)+IF(AND(OR(ISNUMBER(SEARCH("育児休業",$L22)),ISNUMBER(SEARCH("育休",$L22))),$AO22=""),1,0)+IF(AND($AH22="ある",$AI22=""),1,0))</f>
        <v/>
      </c>
    </row>
    <row r="23">
      <c r="A23" s="18" t="n"/>
      <c r="B23" s="18" t="n"/>
      <c r="C23" s="20" t="n"/>
      <c r="D23" s="46" t="n"/>
      <c r="E23" s="46" t="n"/>
      <c r="F23" s="46" t="n"/>
      <c r="G23" s="46" t="n"/>
      <c r="H23" s="18" t="n"/>
      <c r="I23" s="18" t="n"/>
      <c r="J23" s="18" t="n"/>
      <c r="K23" s="46" t="n"/>
      <c r="L23" s="18" t="n"/>
      <c r="M23" s="20" t="n"/>
      <c r="N23" s="20" t="n"/>
      <c r="O23" s="18" t="n"/>
      <c r="P23" s="20" t="n"/>
      <c r="Q23" s="20" t="n"/>
      <c r="R23" s="20" t="n"/>
      <c r="S23" s="20" t="n"/>
      <c r="T23" s="18" t="n"/>
      <c r="U23" s="47" t="n"/>
      <c r="V23" s="18" t="n"/>
      <c r="W23" s="20" t="n"/>
      <c r="X23" s="18" t="n"/>
      <c r="Y23" s="48" t="n"/>
      <c r="Z23" s="18" t="n"/>
      <c r="AA23" s="18" t="n"/>
      <c r="AB23" s="18" t="n"/>
      <c r="AC23" s="18" t="n"/>
      <c r="AD23" s="48" t="n"/>
      <c r="AE23" s="18" t="n"/>
      <c r="AF23" s="18" t="n"/>
      <c r="AG23" s="46" t="n"/>
      <c r="AH23" s="18" t="n"/>
      <c r="AI23" s="18" t="n"/>
      <c r="AJ23" s="18" t="n"/>
      <c r="AK23" s="18" t="n"/>
      <c r="AL23" s="18" t="n"/>
      <c r="AM23" s="18" t="n"/>
      <c r="AN23" s="46" t="n"/>
      <c r="AO23" s="18" t="n"/>
      <c r="AP23" s="18" t="n"/>
      <c r="AQ23" s="12">
        <f>IF($A23="","",IF(AR23&gt;0,"未入力","CSV可"))</f>
        <v/>
      </c>
      <c r="AR23">
        <f>IF($A23="","",IF($A23="",1,0)+IF($B23="",1,0)+IF($C23="",1,0)+IF($D23="",1,0)+IF($E23="",1,0)+IF($F23="",1,0)+IF($G23="",1,0)+IF($H23="",1,0)+IF($I23="",1,0)+IF($L23="",1,0)+IF(AND(OR(ISNUMBER(SEARCH("産前産後",$L23)),ISNUMBER(SEARCH("産休",$L23))),$M23=""),1,0)+IF(AND(OR(ISNUMBER(SEARCH("産前産後",$L23)),ISNUMBER(SEARCH("産休",$L23))),$P23=""),1,0)+IF(AND(OR(ISNUMBER(SEARCH("産前産後",$L23)),ISNUMBER(SEARCH("産休",$L23))),$Q23=""),1,0)+IF(AND(OR(ISNUMBER(SEARCH("産前産後",$L23)),ISNUMBER(SEARCH("産休",$L23))),$O23=""),1,0)+IF(AND(OR(ISNUMBER(SEARCH("産前産後",$L23)),ISNUMBER(SEARCH("産休",$L23))),$AB23=""),1,0)+IF(AND(OR(ISNUMBER(SEARCH("産前産後",$L23)),ISNUMBER(SEARCH("産休",$L23))),$AC23=""),1,0)+IF(AND(OR(ISNUMBER(SEARCH("産前産後",$L23)),ISNUMBER(SEARCH("産休",$L23))),$AF23=""),1,0)+IF(AND(OR(ISNUMBER(SEARCH("産前産後",$L23)),ISNUMBER(SEARCH("産休",$L23))),$AG23=""),1,0)+IF(AND(OR(ISNUMBER(SEARCH("産前産後",$L23)),ISNUMBER(SEARCH("産休",$L23))),$AJ23=""),1,0)+IF(AND(OR(ISNUMBER(SEARCH("育児休業",$L23)),ISNUMBER(SEARCH("育休",$L23))),$R23=""),1,0)+IF(AND(OR(ISNUMBER(SEARCH("育児休業",$L23)),ISNUMBER(SEARCH("育休",$L23))),$S23=""),1,0)+IF(AND(OR(ISNUMBER(SEARCH("育児休業",$L23)),ISNUMBER(SEARCH("育休",$L23))),$Z23=""),1,0)+IF(AND(OR(ISNUMBER(SEARCH("育児休業",$L23)),ISNUMBER(SEARCH("育休",$L23))),$AK23=""),1,0)+IF(AND(OR(ISNUMBER(SEARCH("育児休業",$L23)),ISNUMBER(SEARCH("育休",$L23))),$AL23=""),1,0)+IF(AND(OR(ISNUMBER(SEARCH("育児休業",$L23)),ISNUMBER(SEARCH("育休",$L23))),$AO23=""),1,0)+IF(AND($AH23="ある",$AI23=""),1,0))</f>
        <v/>
      </c>
    </row>
    <row r="24">
      <c r="A24" s="18" t="n"/>
      <c r="B24" s="18" t="n"/>
      <c r="C24" s="20" t="n"/>
      <c r="D24" s="46" t="n"/>
      <c r="E24" s="46" t="n"/>
      <c r="F24" s="46" t="n"/>
      <c r="G24" s="46" t="n"/>
      <c r="H24" s="18" t="n"/>
      <c r="I24" s="18" t="n"/>
      <c r="J24" s="18" t="n"/>
      <c r="K24" s="46" t="n"/>
      <c r="L24" s="18" t="n"/>
      <c r="M24" s="20" t="n"/>
      <c r="N24" s="20" t="n"/>
      <c r="O24" s="18" t="n"/>
      <c r="P24" s="20" t="n"/>
      <c r="Q24" s="20" t="n"/>
      <c r="R24" s="20" t="n"/>
      <c r="S24" s="20" t="n"/>
      <c r="T24" s="18" t="n"/>
      <c r="U24" s="47" t="n"/>
      <c r="V24" s="18" t="n"/>
      <c r="W24" s="20" t="n"/>
      <c r="X24" s="18" t="n"/>
      <c r="Y24" s="48" t="n"/>
      <c r="Z24" s="18" t="n"/>
      <c r="AA24" s="18" t="n"/>
      <c r="AB24" s="18" t="n"/>
      <c r="AC24" s="18" t="n"/>
      <c r="AD24" s="48" t="n"/>
      <c r="AE24" s="18" t="n"/>
      <c r="AF24" s="18" t="n"/>
      <c r="AG24" s="46" t="n"/>
      <c r="AH24" s="18" t="n"/>
      <c r="AI24" s="18" t="n"/>
      <c r="AJ24" s="18" t="n"/>
      <c r="AK24" s="18" t="n"/>
      <c r="AL24" s="18" t="n"/>
      <c r="AM24" s="18" t="n"/>
      <c r="AN24" s="46" t="n"/>
      <c r="AO24" s="18" t="n"/>
      <c r="AP24" s="18" t="n"/>
      <c r="AQ24" s="12">
        <f>IF($A24="","",IF(AR24&gt;0,"未入力","CSV可"))</f>
        <v/>
      </c>
      <c r="AR24">
        <f>IF($A24="","",IF($A24="",1,0)+IF($B24="",1,0)+IF($C24="",1,0)+IF($D24="",1,0)+IF($E24="",1,0)+IF($F24="",1,0)+IF($G24="",1,0)+IF($H24="",1,0)+IF($I24="",1,0)+IF($L24="",1,0)+IF(AND(OR(ISNUMBER(SEARCH("産前産後",$L24)),ISNUMBER(SEARCH("産休",$L24))),$M24=""),1,0)+IF(AND(OR(ISNUMBER(SEARCH("産前産後",$L24)),ISNUMBER(SEARCH("産休",$L24))),$P24=""),1,0)+IF(AND(OR(ISNUMBER(SEARCH("産前産後",$L24)),ISNUMBER(SEARCH("産休",$L24))),$Q24=""),1,0)+IF(AND(OR(ISNUMBER(SEARCH("産前産後",$L24)),ISNUMBER(SEARCH("産休",$L24))),$O24=""),1,0)+IF(AND(OR(ISNUMBER(SEARCH("産前産後",$L24)),ISNUMBER(SEARCH("産休",$L24))),$AB24=""),1,0)+IF(AND(OR(ISNUMBER(SEARCH("産前産後",$L24)),ISNUMBER(SEARCH("産休",$L24))),$AC24=""),1,0)+IF(AND(OR(ISNUMBER(SEARCH("産前産後",$L24)),ISNUMBER(SEARCH("産休",$L24))),$AF24=""),1,0)+IF(AND(OR(ISNUMBER(SEARCH("産前産後",$L24)),ISNUMBER(SEARCH("産休",$L24))),$AG24=""),1,0)+IF(AND(OR(ISNUMBER(SEARCH("産前産後",$L24)),ISNUMBER(SEARCH("産休",$L24))),$AJ24=""),1,0)+IF(AND(OR(ISNUMBER(SEARCH("育児休業",$L24)),ISNUMBER(SEARCH("育休",$L24))),$R24=""),1,0)+IF(AND(OR(ISNUMBER(SEARCH("育児休業",$L24)),ISNUMBER(SEARCH("育休",$L24))),$S24=""),1,0)+IF(AND(OR(ISNUMBER(SEARCH("育児休業",$L24)),ISNUMBER(SEARCH("育休",$L24))),$Z24=""),1,0)+IF(AND(OR(ISNUMBER(SEARCH("育児休業",$L24)),ISNUMBER(SEARCH("育休",$L24))),$AK24=""),1,0)+IF(AND(OR(ISNUMBER(SEARCH("育児休業",$L24)),ISNUMBER(SEARCH("育休",$L24))),$AL24=""),1,0)+IF(AND(OR(ISNUMBER(SEARCH("育児休業",$L24)),ISNUMBER(SEARCH("育休",$L24))),$AO24=""),1,0)+IF(AND($AH24="ある",$AI24=""),1,0))</f>
        <v/>
      </c>
    </row>
    <row r="25">
      <c r="A25" s="18" t="n"/>
      <c r="B25" s="18" t="n"/>
      <c r="C25" s="20" t="n"/>
      <c r="D25" s="46" t="n"/>
      <c r="E25" s="46" t="n"/>
      <c r="F25" s="46" t="n"/>
      <c r="G25" s="46" t="n"/>
      <c r="H25" s="18" t="n"/>
      <c r="I25" s="18" t="n"/>
      <c r="J25" s="18" t="n"/>
      <c r="K25" s="46" t="n"/>
      <c r="L25" s="18" t="n"/>
      <c r="M25" s="20" t="n"/>
      <c r="N25" s="20" t="n"/>
      <c r="O25" s="18" t="n"/>
      <c r="P25" s="20" t="n"/>
      <c r="Q25" s="20" t="n"/>
      <c r="R25" s="20" t="n"/>
      <c r="S25" s="20" t="n"/>
      <c r="T25" s="18" t="n"/>
      <c r="U25" s="47" t="n"/>
      <c r="V25" s="18" t="n"/>
      <c r="W25" s="20" t="n"/>
      <c r="X25" s="18" t="n"/>
      <c r="Y25" s="48" t="n"/>
      <c r="Z25" s="18" t="n"/>
      <c r="AA25" s="18" t="n"/>
      <c r="AB25" s="18" t="n"/>
      <c r="AC25" s="18" t="n"/>
      <c r="AD25" s="48" t="n"/>
      <c r="AE25" s="18" t="n"/>
      <c r="AF25" s="18" t="n"/>
      <c r="AG25" s="46" t="n"/>
      <c r="AH25" s="18" t="n"/>
      <c r="AI25" s="18" t="n"/>
      <c r="AJ25" s="18" t="n"/>
      <c r="AK25" s="18" t="n"/>
      <c r="AL25" s="18" t="n"/>
      <c r="AM25" s="18" t="n"/>
      <c r="AN25" s="46" t="n"/>
      <c r="AO25" s="18" t="n"/>
      <c r="AP25" s="18" t="n"/>
      <c r="AQ25" s="12">
        <f>IF($A25="","",IF(AR25&gt;0,"未入力","CSV可"))</f>
        <v/>
      </c>
      <c r="AR25">
        <f>IF($A25="","",IF($A25="",1,0)+IF($B25="",1,0)+IF($C25="",1,0)+IF($D25="",1,0)+IF($E25="",1,0)+IF($F25="",1,0)+IF($G25="",1,0)+IF($H25="",1,0)+IF($I25="",1,0)+IF($L25="",1,0)+IF(AND(OR(ISNUMBER(SEARCH("産前産後",$L25)),ISNUMBER(SEARCH("産休",$L25))),$M25=""),1,0)+IF(AND(OR(ISNUMBER(SEARCH("産前産後",$L25)),ISNUMBER(SEARCH("産休",$L25))),$P25=""),1,0)+IF(AND(OR(ISNUMBER(SEARCH("産前産後",$L25)),ISNUMBER(SEARCH("産休",$L25))),$Q25=""),1,0)+IF(AND(OR(ISNUMBER(SEARCH("産前産後",$L25)),ISNUMBER(SEARCH("産休",$L25))),$O25=""),1,0)+IF(AND(OR(ISNUMBER(SEARCH("産前産後",$L25)),ISNUMBER(SEARCH("産休",$L25))),$AB25=""),1,0)+IF(AND(OR(ISNUMBER(SEARCH("産前産後",$L25)),ISNUMBER(SEARCH("産休",$L25))),$AC25=""),1,0)+IF(AND(OR(ISNUMBER(SEARCH("産前産後",$L25)),ISNUMBER(SEARCH("産休",$L25))),$AF25=""),1,0)+IF(AND(OR(ISNUMBER(SEARCH("産前産後",$L25)),ISNUMBER(SEARCH("産休",$L25))),$AG25=""),1,0)+IF(AND(OR(ISNUMBER(SEARCH("産前産後",$L25)),ISNUMBER(SEARCH("産休",$L25))),$AJ25=""),1,0)+IF(AND(OR(ISNUMBER(SEARCH("育児休業",$L25)),ISNUMBER(SEARCH("育休",$L25))),$R25=""),1,0)+IF(AND(OR(ISNUMBER(SEARCH("育児休業",$L25)),ISNUMBER(SEARCH("育休",$L25))),$S25=""),1,0)+IF(AND(OR(ISNUMBER(SEARCH("育児休業",$L25)),ISNUMBER(SEARCH("育休",$L25))),$Z25=""),1,0)+IF(AND(OR(ISNUMBER(SEARCH("育児休業",$L25)),ISNUMBER(SEARCH("育休",$L25))),$AK25=""),1,0)+IF(AND(OR(ISNUMBER(SEARCH("育児休業",$L25)),ISNUMBER(SEARCH("育休",$L25))),$AL25=""),1,0)+IF(AND(OR(ISNUMBER(SEARCH("育児休業",$L25)),ISNUMBER(SEARCH("育休",$L25))),$AO25=""),1,0)+IF(AND($AH25="ある",$AI25=""),1,0))</f>
        <v/>
      </c>
    </row>
    <row r="26">
      <c r="A26" s="18" t="n"/>
      <c r="B26" s="18" t="n"/>
      <c r="C26" s="20" t="n"/>
      <c r="D26" s="46" t="n"/>
      <c r="E26" s="46" t="n"/>
      <c r="F26" s="46" t="n"/>
      <c r="G26" s="46" t="n"/>
      <c r="H26" s="18" t="n"/>
      <c r="I26" s="18" t="n"/>
      <c r="J26" s="18" t="n"/>
      <c r="K26" s="46" t="n"/>
      <c r="L26" s="18" t="n"/>
      <c r="M26" s="20" t="n"/>
      <c r="N26" s="20" t="n"/>
      <c r="O26" s="18" t="n"/>
      <c r="P26" s="20" t="n"/>
      <c r="Q26" s="20" t="n"/>
      <c r="R26" s="20" t="n"/>
      <c r="S26" s="20" t="n"/>
      <c r="T26" s="18" t="n"/>
      <c r="U26" s="47" t="n"/>
      <c r="V26" s="18" t="n"/>
      <c r="W26" s="20" t="n"/>
      <c r="X26" s="18" t="n"/>
      <c r="Y26" s="48" t="n"/>
      <c r="Z26" s="18" t="n"/>
      <c r="AA26" s="18" t="n"/>
      <c r="AB26" s="18" t="n"/>
      <c r="AC26" s="18" t="n"/>
      <c r="AD26" s="48" t="n"/>
      <c r="AE26" s="18" t="n"/>
      <c r="AF26" s="18" t="n"/>
      <c r="AG26" s="46" t="n"/>
      <c r="AH26" s="18" t="n"/>
      <c r="AI26" s="18" t="n"/>
      <c r="AJ26" s="18" t="n"/>
      <c r="AK26" s="18" t="n"/>
      <c r="AL26" s="18" t="n"/>
      <c r="AM26" s="18" t="n"/>
      <c r="AN26" s="46" t="n"/>
      <c r="AO26" s="18" t="n"/>
      <c r="AP26" s="18" t="n"/>
      <c r="AQ26" s="12">
        <f>IF($A26="","",IF(AR26&gt;0,"未入力","CSV可"))</f>
        <v/>
      </c>
      <c r="AR26">
        <f>IF($A26="","",IF($A26="",1,0)+IF($B26="",1,0)+IF($C26="",1,0)+IF($D26="",1,0)+IF($E26="",1,0)+IF($F26="",1,0)+IF($G26="",1,0)+IF($H26="",1,0)+IF($I26="",1,0)+IF($L26="",1,0)+IF(AND(OR(ISNUMBER(SEARCH("産前産後",$L26)),ISNUMBER(SEARCH("産休",$L26))),$M26=""),1,0)+IF(AND(OR(ISNUMBER(SEARCH("産前産後",$L26)),ISNUMBER(SEARCH("産休",$L26))),$P26=""),1,0)+IF(AND(OR(ISNUMBER(SEARCH("産前産後",$L26)),ISNUMBER(SEARCH("産休",$L26))),$Q26=""),1,0)+IF(AND(OR(ISNUMBER(SEARCH("産前産後",$L26)),ISNUMBER(SEARCH("産休",$L26))),$O26=""),1,0)+IF(AND(OR(ISNUMBER(SEARCH("産前産後",$L26)),ISNUMBER(SEARCH("産休",$L26))),$AB26=""),1,0)+IF(AND(OR(ISNUMBER(SEARCH("産前産後",$L26)),ISNUMBER(SEARCH("産休",$L26))),$AC26=""),1,0)+IF(AND(OR(ISNUMBER(SEARCH("産前産後",$L26)),ISNUMBER(SEARCH("産休",$L26))),$AF26=""),1,0)+IF(AND(OR(ISNUMBER(SEARCH("産前産後",$L26)),ISNUMBER(SEARCH("産休",$L26))),$AG26=""),1,0)+IF(AND(OR(ISNUMBER(SEARCH("産前産後",$L26)),ISNUMBER(SEARCH("産休",$L26))),$AJ26=""),1,0)+IF(AND(OR(ISNUMBER(SEARCH("育児休業",$L26)),ISNUMBER(SEARCH("育休",$L26))),$R26=""),1,0)+IF(AND(OR(ISNUMBER(SEARCH("育児休業",$L26)),ISNUMBER(SEARCH("育休",$L26))),$S26=""),1,0)+IF(AND(OR(ISNUMBER(SEARCH("育児休業",$L26)),ISNUMBER(SEARCH("育休",$L26))),$Z26=""),1,0)+IF(AND(OR(ISNUMBER(SEARCH("育児休業",$L26)),ISNUMBER(SEARCH("育休",$L26))),$AK26=""),1,0)+IF(AND(OR(ISNUMBER(SEARCH("育児休業",$L26)),ISNUMBER(SEARCH("育休",$L26))),$AL26=""),1,0)+IF(AND(OR(ISNUMBER(SEARCH("育児休業",$L26)),ISNUMBER(SEARCH("育休",$L26))),$AO26=""),1,0)+IF(AND($AH26="ある",$AI26=""),1,0))</f>
        <v/>
      </c>
    </row>
    <row r="27">
      <c r="A27" s="18" t="n"/>
      <c r="B27" s="18" t="n"/>
      <c r="C27" s="20" t="n"/>
      <c r="D27" s="46" t="n"/>
      <c r="E27" s="46" t="n"/>
      <c r="F27" s="46" t="n"/>
      <c r="G27" s="46" t="n"/>
      <c r="H27" s="18" t="n"/>
      <c r="I27" s="18" t="n"/>
      <c r="J27" s="18" t="n"/>
      <c r="K27" s="46" t="n"/>
      <c r="L27" s="18" t="n"/>
      <c r="M27" s="20" t="n"/>
      <c r="N27" s="20" t="n"/>
      <c r="O27" s="18" t="n"/>
      <c r="P27" s="20" t="n"/>
      <c r="Q27" s="20" t="n"/>
      <c r="R27" s="20" t="n"/>
      <c r="S27" s="20" t="n"/>
      <c r="T27" s="18" t="n"/>
      <c r="U27" s="47" t="n"/>
      <c r="V27" s="18" t="n"/>
      <c r="W27" s="20" t="n"/>
      <c r="X27" s="18" t="n"/>
      <c r="Y27" s="48" t="n"/>
      <c r="Z27" s="18" t="n"/>
      <c r="AA27" s="18" t="n"/>
      <c r="AB27" s="18" t="n"/>
      <c r="AC27" s="18" t="n"/>
      <c r="AD27" s="48" t="n"/>
      <c r="AE27" s="18" t="n"/>
      <c r="AF27" s="18" t="n"/>
      <c r="AG27" s="46" t="n"/>
      <c r="AH27" s="18" t="n"/>
      <c r="AI27" s="18" t="n"/>
      <c r="AJ27" s="18" t="n"/>
      <c r="AK27" s="18" t="n"/>
      <c r="AL27" s="18" t="n"/>
      <c r="AM27" s="18" t="n"/>
      <c r="AN27" s="46" t="n"/>
      <c r="AO27" s="18" t="n"/>
      <c r="AP27" s="18" t="n"/>
      <c r="AQ27" s="12">
        <f>IF($A27="","",IF(AR27&gt;0,"未入力","CSV可"))</f>
        <v/>
      </c>
      <c r="AR27">
        <f>IF($A27="","",IF($A27="",1,0)+IF($B27="",1,0)+IF($C27="",1,0)+IF($D27="",1,0)+IF($E27="",1,0)+IF($F27="",1,0)+IF($G27="",1,0)+IF($H27="",1,0)+IF($I27="",1,0)+IF($L27="",1,0)+IF(AND(OR(ISNUMBER(SEARCH("産前産後",$L27)),ISNUMBER(SEARCH("産休",$L27))),$M27=""),1,0)+IF(AND(OR(ISNUMBER(SEARCH("産前産後",$L27)),ISNUMBER(SEARCH("産休",$L27))),$P27=""),1,0)+IF(AND(OR(ISNUMBER(SEARCH("産前産後",$L27)),ISNUMBER(SEARCH("産休",$L27))),$Q27=""),1,0)+IF(AND(OR(ISNUMBER(SEARCH("産前産後",$L27)),ISNUMBER(SEARCH("産休",$L27))),$O27=""),1,0)+IF(AND(OR(ISNUMBER(SEARCH("産前産後",$L27)),ISNUMBER(SEARCH("産休",$L27))),$AB27=""),1,0)+IF(AND(OR(ISNUMBER(SEARCH("産前産後",$L27)),ISNUMBER(SEARCH("産休",$L27))),$AC27=""),1,0)+IF(AND(OR(ISNUMBER(SEARCH("産前産後",$L27)),ISNUMBER(SEARCH("産休",$L27))),$AF27=""),1,0)+IF(AND(OR(ISNUMBER(SEARCH("産前産後",$L27)),ISNUMBER(SEARCH("産休",$L27))),$AG27=""),1,0)+IF(AND(OR(ISNUMBER(SEARCH("産前産後",$L27)),ISNUMBER(SEARCH("産休",$L27))),$AJ27=""),1,0)+IF(AND(OR(ISNUMBER(SEARCH("育児休業",$L27)),ISNUMBER(SEARCH("育休",$L27))),$R27=""),1,0)+IF(AND(OR(ISNUMBER(SEARCH("育児休業",$L27)),ISNUMBER(SEARCH("育休",$L27))),$S27=""),1,0)+IF(AND(OR(ISNUMBER(SEARCH("育児休業",$L27)),ISNUMBER(SEARCH("育休",$L27))),$Z27=""),1,0)+IF(AND(OR(ISNUMBER(SEARCH("育児休業",$L27)),ISNUMBER(SEARCH("育休",$L27))),$AK27=""),1,0)+IF(AND(OR(ISNUMBER(SEARCH("育児休業",$L27)),ISNUMBER(SEARCH("育休",$L27))),$AL27=""),1,0)+IF(AND(OR(ISNUMBER(SEARCH("育児休業",$L27)),ISNUMBER(SEARCH("育休",$L27))),$AO27=""),1,0)+IF(AND($AH27="ある",$AI27=""),1,0))</f>
        <v/>
      </c>
    </row>
    <row r="28">
      <c r="A28" s="18" t="n"/>
      <c r="B28" s="18" t="n"/>
      <c r="C28" s="20" t="n"/>
      <c r="D28" s="46" t="n"/>
      <c r="E28" s="46" t="n"/>
      <c r="F28" s="46" t="n"/>
      <c r="G28" s="46" t="n"/>
      <c r="H28" s="18" t="n"/>
      <c r="I28" s="18" t="n"/>
      <c r="J28" s="18" t="n"/>
      <c r="K28" s="46" t="n"/>
      <c r="L28" s="18" t="n"/>
      <c r="M28" s="20" t="n"/>
      <c r="N28" s="20" t="n"/>
      <c r="O28" s="18" t="n"/>
      <c r="P28" s="20" t="n"/>
      <c r="Q28" s="20" t="n"/>
      <c r="R28" s="20" t="n"/>
      <c r="S28" s="20" t="n"/>
      <c r="T28" s="18" t="n"/>
      <c r="U28" s="47" t="n"/>
      <c r="V28" s="18" t="n"/>
      <c r="W28" s="20" t="n"/>
      <c r="X28" s="18" t="n"/>
      <c r="Y28" s="48" t="n"/>
      <c r="Z28" s="18" t="n"/>
      <c r="AA28" s="18" t="n"/>
      <c r="AB28" s="18" t="n"/>
      <c r="AC28" s="18" t="n"/>
      <c r="AD28" s="48" t="n"/>
      <c r="AE28" s="18" t="n"/>
      <c r="AF28" s="18" t="n"/>
      <c r="AG28" s="46" t="n"/>
      <c r="AH28" s="18" t="n"/>
      <c r="AI28" s="18" t="n"/>
      <c r="AJ28" s="18" t="n"/>
      <c r="AK28" s="18" t="n"/>
      <c r="AL28" s="18" t="n"/>
      <c r="AM28" s="18" t="n"/>
      <c r="AN28" s="46" t="n"/>
      <c r="AO28" s="18" t="n"/>
      <c r="AP28" s="18" t="n"/>
      <c r="AQ28" s="12">
        <f>IF($A28="","",IF(AR28&gt;0,"未入力","CSV可"))</f>
        <v/>
      </c>
      <c r="AR28">
        <f>IF($A28="","",IF($A28="",1,0)+IF($B28="",1,0)+IF($C28="",1,0)+IF($D28="",1,0)+IF($E28="",1,0)+IF($F28="",1,0)+IF($G28="",1,0)+IF($H28="",1,0)+IF($I28="",1,0)+IF($L28="",1,0)+IF(AND(OR(ISNUMBER(SEARCH("産前産後",$L28)),ISNUMBER(SEARCH("産休",$L28))),$M28=""),1,0)+IF(AND(OR(ISNUMBER(SEARCH("産前産後",$L28)),ISNUMBER(SEARCH("産休",$L28))),$P28=""),1,0)+IF(AND(OR(ISNUMBER(SEARCH("産前産後",$L28)),ISNUMBER(SEARCH("産休",$L28))),$Q28=""),1,0)+IF(AND(OR(ISNUMBER(SEARCH("産前産後",$L28)),ISNUMBER(SEARCH("産休",$L28))),$O28=""),1,0)+IF(AND(OR(ISNUMBER(SEARCH("産前産後",$L28)),ISNUMBER(SEARCH("産休",$L28))),$AB28=""),1,0)+IF(AND(OR(ISNUMBER(SEARCH("産前産後",$L28)),ISNUMBER(SEARCH("産休",$L28))),$AC28=""),1,0)+IF(AND(OR(ISNUMBER(SEARCH("産前産後",$L28)),ISNUMBER(SEARCH("産休",$L28))),$AF28=""),1,0)+IF(AND(OR(ISNUMBER(SEARCH("産前産後",$L28)),ISNUMBER(SEARCH("産休",$L28))),$AG28=""),1,0)+IF(AND(OR(ISNUMBER(SEARCH("産前産後",$L28)),ISNUMBER(SEARCH("産休",$L28))),$AJ28=""),1,0)+IF(AND(OR(ISNUMBER(SEARCH("育児休業",$L28)),ISNUMBER(SEARCH("育休",$L28))),$R28=""),1,0)+IF(AND(OR(ISNUMBER(SEARCH("育児休業",$L28)),ISNUMBER(SEARCH("育休",$L28))),$S28=""),1,0)+IF(AND(OR(ISNUMBER(SEARCH("育児休業",$L28)),ISNUMBER(SEARCH("育休",$L28))),$Z28=""),1,0)+IF(AND(OR(ISNUMBER(SEARCH("育児休業",$L28)),ISNUMBER(SEARCH("育休",$L28))),$AK28=""),1,0)+IF(AND(OR(ISNUMBER(SEARCH("育児休業",$L28)),ISNUMBER(SEARCH("育休",$L28))),$AL28=""),1,0)+IF(AND(OR(ISNUMBER(SEARCH("育児休業",$L28)),ISNUMBER(SEARCH("育休",$L28))),$AO28=""),1,0)+IF(AND($AH28="ある",$AI28=""),1,0))</f>
        <v/>
      </c>
    </row>
    <row r="29">
      <c r="A29" s="18" t="n"/>
      <c r="B29" s="18" t="n"/>
      <c r="C29" s="20" t="n"/>
      <c r="D29" s="46" t="n"/>
      <c r="E29" s="46" t="n"/>
      <c r="F29" s="46" t="n"/>
      <c r="G29" s="46" t="n"/>
      <c r="H29" s="18" t="n"/>
      <c r="I29" s="18" t="n"/>
      <c r="J29" s="18" t="n"/>
      <c r="K29" s="46" t="n"/>
      <c r="L29" s="18" t="n"/>
      <c r="M29" s="20" t="n"/>
      <c r="N29" s="20" t="n"/>
      <c r="O29" s="18" t="n"/>
      <c r="P29" s="20" t="n"/>
      <c r="Q29" s="20" t="n"/>
      <c r="R29" s="20" t="n"/>
      <c r="S29" s="20" t="n"/>
      <c r="T29" s="18" t="n"/>
      <c r="U29" s="47" t="n"/>
      <c r="V29" s="18" t="n"/>
      <c r="W29" s="20" t="n"/>
      <c r="X29" s="18" t="n"/>
      <c r="Y29" s="48" t="n"/>
      <c r="Z29" s="18" t="n"/>
      <c r="AA29" s="18" t="n"/>
      <c r="AB29" s="18" t="n"/>
      <c r="AC29" s="18" t="n"/>
      <c r="AD29" s="48" t="n"/>
      <c r="AE29" s="18" t="n"/>
      <c r="AF29" s="18" t="n"/>
      <c r="AG29" s="46" t="n"/>
      <c r="AH29" s="18" t="n"/>
      <c r="AI29" s="18" t="n"/>
      <c r="AJ29" s="18" t="n"/>
      <c r="AK29" s="18" t="n"/>
      <c r="AL29" s="18" t="n"/>
      <c r="AM29" s="18" t="n"/>
      <c r="AN29" s="46" t="n"/>
      <c r="AO29" s="18" t="n"/>
      <c r="AP29" s="18" t="n"/>
      <c r="AQ29" s="12">
        <f>IF($A29="","",IF(AR29&gt;0,"未入力","CSV可"))</f>
        <v/>
      </c>
      <c r="AR29">
        <f>IF($A29="","",IF($A29="",1,0)+IF($B29="",1,0)+IF($C29="",1,0)+IF($D29="",1,0)+IF($E29="",1,0)+IF($F29="",1,0)+IF($G29="",1,0)+IF($H29="",1,0)+IF($I29="",1,0)+IF($L29="",1,0)+IF(AND(OR(ISNUMBER(SEARCH("産前産後",$L29)),ISNUMBER(SEARCH("産休",$L29))),$M29=""),1,0)+IF(AND(OR(ISNUMBER(SEARCH("産前産後",$L29)),ISNUMBER(SEARCH("産休",$L29))),$P29=""),1,0)+IF(AND(OR(ISNUMBER(SEARCH("産前産後",$L29)),ISNUMBER(SEARCH("産休",$L29))),$Q29=""),1,0)+IF(AND(OR(ISNUMBER(SEARCH("産前産後",$L29)),ISNUMBER(SEARCH("産休",$L29))),$O29=""),1,0)+IF(AND(OR(ISNUMBER(SEARCH("産前産後",$L29)),ISNUMBER(SEARCH("産休",$L29))),$AB29=""),1,0)+IF(AND(OR(ISNUMBER(SEARCH("産前産後",$L29)),ISNUMBER(SEARCH("産休",$L29))),$AC29=""),1,0)+IF(AND(OR(ISNUMBER(SEARCH("産前産後",$L29)),ISNUMBER(SEARCH("産休",$L29))),$AF29=""),1,0)+IF(AND(OR(ISNUMBER(SEARCH("産前産後",$L29)),ISNUMBER(SEARCH("産休",$L29))),$AG29=""),1,0)+IF(AND(OR(ISNUMBER(SEARCH("産前産後",$L29)),ISNUMBER(SEARCH("産休",$L29))),$AJ29=""),1,0)+IF(AND(OR(ISNUMBER(SEARCH("育児休業",$L29)),ISNUMBER(SEARCH("育休",$L29))),$R29=""),1,0)+IF(AND(OR(ISNUMBER(SEARCH("育児休業",$L29)),ISNUMBER(SEARCH("育休",$L29))),$S29=""),1,0)+IF(AND(OR(ISNUMBER(SEARCH("育児休業",$L29)),ISNUMBER(SEARCH("育休",$L29))),$Z29=""),1,0)+IF(AND(OR(ISNUMBER(SEARCH("育児休業",$L29)),ISNUMBER(SEARCH("育休",$L29))),$AK29=""),1,0)+IF(AND(OR(ISNUMBER(SEARCH("育児休業",$L29)),ISNUMBER(SEARCH("育休",$L29))),$AL29=""),1,0)+IF(AND(OR(ISNUMBER(SEARCH("育児休業",$L29)),ISNUMBER(SEARCH("育休",$L29))),$AO29=""),1,0)+IF(AND($AH29="ある",$AI29=""),1,0))</f>
        <v/>
      </c>
    </row>
    <row r="30">
      <c r="A30" s="18" t="n"/>
      <c r="B30" s="18" t="n"/>
      <c r="C30" s="20" t="n"/>
      <c r="D30" s="46" t="n"/>
      <c r="E30" s="46" t="n"/>
      <c r="F30" s="46" t="n"/>
      <c r="G30" s="46" t="n"/>
      <c r="H30" s="18" t="n"/>
      <c r="I30" s="18" t="n"/>
      <c r="J30" s="18" t="n"/>
      <c r="K30" s="46" t="n"/>
      <c r="L30" s="18" t="n"/>
      <c r="M30" s="20" t="n"/>
      <c r="N30" s="20" t="n"/>
      <c r="O30" s="18" t="n"/>
      <c r="P30" s="20" t="n"/>
      <c r="Q30" s="20" t="n"/>
      <c r="R30" s="20" t="n"/>
      <c r="S30" s="20" t="n"/>
      <c r="T30" s="18" t="n"/>
      <c r="U30" s="47" t="n"/>
      <c r="V30" s="18" t="n"/>
      <c r="W30" s="20" t="n"/>
      <c r="X30" s="18" t="n"/>
      <c r="Y30" s="48" t="n"/>
      <c r="Z30" s="18" t="n"/>
      <c r="AA30" s="18" t="n"/>
      <c r="AB30" s="18" t="n"/>
      <c r="AC30" s="18" t="n"/>
      <c r="AD30" s="48" t="n"/>
      <c r="AE30" s="18" t="n"/>
      <c r="AF30" s="18" t="n"/>
      <c r="AG30" s="46" t="n"/>
      <c r="AH30" s="18" t="n"/>
      <c r="AI30" s="18" t="n"/>
      <c r="AJ30" s="18" t="n"/>
      <c r="AK30" s="18" t="n"/>
      <c r="AL30" s="18" t="n"/>
      <c r="AM30" s="18" t="n"/>
      <c r="AN30" s="46" t="n"/>
      <c r="AO30" s="18" t="n"/>
      <c r="AP30" s="18" t="n"/>
      <c r="AQ30" s="12">
        <f>IF($A30="","",IF(AR30&gt;0,"未入力","CSV可"))</f>
        <v/>
      </c>
      <c r="AR30">
        <f>IF($A30="","",IF($A30="",1,0)+IF($B30="",1,0)+IF($C30="",1,0)+IF($D30="",1,0)+IF($E30="",1,0)+IF($F30="",1,0)+IF($G30="",1,0)+IF($H30="",1,0)+IF($I30="",1,0)+IF($L30="",1,0)+IF(AND(OR(ISNUMBER(SEARCH("産前産後",$L30)),ISNUMBER(SEARCH("産休",$L30))),$M30=""),1,0)+IF(AND(OR(ISNUMBER(SEARCH("産前産後",$L30)),ISNUMBER(SEARCH("産休",$L30))),$P30=""),1,0)+IF(AND(OR(ISNUMBER(SEARCH("産前産後",$L30)),ISNUMBER(SEARCH("産休",$L30))),$Q30=""),1,0)+IF(AND(OR(ISNUMBER(SEARCH("産前産後",$L30)),ISNUMBER(SEARCH("産休",$L30))),$O30=""),1,0)+IF(AND(OR(ISNUMBER(SEARCH("産前産後",$L30)),ISNUMBER(SEARCH("産休",$L30))),$AB30=""),1,0)+IF(AND(OR(ISNUMBER(SEARCH("産前産後",$L30)),ISNUMBER(SEARCH("産休",$L30))),$AC30=""),1,0)+IF(AND(OR(ISNUMBER(SEARCH("産前産後",$L30)),ISNUMBER(SEARCH("産休",$L30))),$AF30=""),1,0)+IF(AND(OR(ISNUMBER(SEARCH("産前産後",$L30)),ISNUMBER(SEARCH("産休",$L30))),$AG30=""),1,0)+IF(AND(OR(ISNUMBER(SEARCH("産前産後",$L30)),ISNUMBER(SEARCH("産休",$L30))),$AJ30=""),1,0)+IF(AND(OR(ISNUMBER(SEARCH("育児休業",$L30)),ISNUMBER(SEARCH("育休",$L30))),$R30=""),1,0)+IF(AND(OR(ISNUMBER(SEARCH("育児休業",$L30)),ISNUMBER(SEARCH("育休",$L30))),$S30=""),1,0)+IF(AND(OR(ISNUMBER(SEARCH("育児休業",$L30)),ISNUMBER(SEARCH("育休",$L30))),$Z30=""),1,0)+IF(AND(OR(ISNUMBER(SEARCH("育児休業",$L30)),ISNUMBER(SEARCH("育休",$L30))),$AK30=""),1,0)+IF(AND(OR(ISNUMBER(SEARCH("育児休業",$L30)),ISNUMBER(SEARCH("育休",$L30))),$AL30=""),1,0)+IF(AND(OR(ISNUMBER(SEARCH("育児休業",$L30)),ISNUMBER(SEARCH("育休",$L30))),$AO30=""),1,0)+IF(AND($AH30="ある",$AI30=""),1,0))</f>
        <v/>
      </c>
    </row>
    <row r="31">
      <c r="A31" s="18" t="n"/>
      <c r="B31" s="18" t="n"/>
      <c r="C31" s="20" t="n"/>
      <c r="D31" s="46" t="n"/>
      <c r="E31" s="46" t="n"/>
      <c r="F31" s="46" t="n"/>
      <c r="G31" s="46" t="n"/>
      <c r="H31" s="18" t="n"/>
      <c r="I31" s="18" t="n"/>
      <c r="J31" s="18" t="n"/>
      <c r="K31" s="46" t="n"/>
      <c r="L31" s="18" t="n"/>
      <c r="M31" s="20" t="n"/>
      <c r="N31" s="20" t="n"/>
      <c r="O31" s="18" t="n"/>
      <c r="P31" s="20" t="n"/>
      <c r="Q31" s="20" t="n"/>
      <c r="R31" s="20" t="n"/>
      <c r="S31" s="20" t="n"/>
      <c r="T31" s="18" t="n"/>
      <c r="U31" s="47" t="n"/>
      <c r="V31" s="18" t="n"/>
      <c r="W31" s="20" t="n"/>
      <c r="X31" s="18" t="n"/>
      <c r="Y31" s="48" t="n"/>
      <c r="Z31" s="18" t="n"/>
      <c r="AA31" s="18" t="n"/>
      <c r="AB31" s="18" t="n"/>
      <c r="AC31" s="18" t="n"/>
      <c r="AD31" s="48" t="n"/>
      <c r="AE31" s="18" t="n"/>
      <c r="AF31" s="18" t="n"/>
      <c r="AG31" s="46" t="n"/>
      <c r="AH31" s="18" t="n"/>
      <c r="AI31" s="18" t="n"/>
      <c r="AJ31" s="18" t="n"/>
      <c r="AK31" s="18" t="n"/>
      <c r="AL31" s="18" t="n"/>
      <c r="AM31" s="18" t="n"/>
      <c r="AN31" s="46" t="n"/>
      <c r="AO31" s="18" t="n"/>
      <c r="AP31" s="18" t="n"/>
      <c r="AQ31" s="12">
        <f>IF($A31="","",IF(AR31&gt;0,"未入力","CSV可"))</f>
        <v/>
      </c>
      <c r="AR31">
        <f>IF($A31="","",IF($A31="",1,0)+IF($B31="",1,0)+IF($C31="",1,0)+IF($D31="",1,0)+IF($E31="",1,0)+IF($F31="",1,0)+IF($G31="",1,0)+IF($H31="",1,0)+IF($I31="",1,0)+IF($L31="",1,0)+IF(AND(OR(ISNUMBER(SEARCH("産前産後",$L31)),ISNUMBER(SEARCH("産休",$L31))),$M31=""),1,0)+IF(AND(OR(ISNUMBER(SEARCH("産前産後",$L31)),ISNUMBER(SEARCH("産休",$L31))),$P31=""),1,0)+IF(AND(OR(ISNUMBER(SEARCH("産前産後",$L31)),ISNUMBER(SEARCH("産休",$L31))),$Q31=""),1,0)+IF(AND(OR(ISNUMBER(SEARCH("産前産後",$L31)),ISNUMBER(SEARCH("産休",$L31))),$O31=""),1,0)+IF(AND(OR(ISNUMBER(SEARCH("産前産後",$L31)),ISNUMBER(SEARCH("産休",$L31))),$AB31=""),1,0)+IF(AND(OR(ISNUMBER(SEARCH("産前産後",$L31)),ISNUMBER(SEARCH("産休",$L31))),$AC31=""),1,0)+IF(AND(OR(ISNUMBER(SEARCH("産前産後",$L31)),ISNUMBER(SEARCH("産休",$L31))),$AF31=""),1,0)+IF(AND(OR(ISNUMBER(SEARCH("産前産後",$L31)),ISNUMBER(SEARCH("産休",$L31))),$AG31=""),1,0)+IF(AND(OR(ISNUMBER(SEARCH("産前産後",$L31)),ISNUMBER(SEARCH("産休",$L31))),$AJ31=""),1,0)+IF(AND(OR(ISNUMBER(SEARCH("育児休業",$L31)),ISNUMBER(SEARCH("育休",$L31))),$R31=""),1,0)+IF(AND(OR(ISNUMBER(SEARCH("育児休業",$L31)),ISNUMBER(SEARCH("育休",$L31))),$S31=""),1,0)+IF(AND(OR(ISNUMBER(SEARCH("育児休業",$L31)),ISNUMBER(SEARCH("育休",$L31))),$Z31=""),1,0)+IF(AND(OR(ISNUMBER(SEARCH("育児休業",$L31)),ISNUMBER(SEARCH("育休",$L31))),$AK31=""),1,0)+IF(AND(OR(ISNUMBER(SEARCH("育児休業",$L31)),ISNUMBER(SEARCH("育休",$L31))),$AL31=""),1,0)+IF(AND(OR(ISNUMBER(SEARCH("育児休業",$L31)),ISNUMBER(SEARCH("育休",$L31))),$AO31=""),1,0)+IF(AND($AH31="ある",$AI31=""),1,0))</f>
        <v/>
      </c>
    </row>
    <row r="32">
      <c r="A32" s="18" t="n"/>
      <c r="B32" s="18" t="n"/>
      <c r="C32" s="20" t="n"/>
      <c r="D32" s="46" t="n"/>
      <c r="E32" s="46" t="n"/>
      <c r="F32" s="46" t="n"/>
      <c r="G32" s="46" t="n"/>
      <c r="H32" s="18" t="n"/>
      <c r="I32" s="18" t="n"/>
      <c r="J32" s="18" t="n"/>
      <c r="K32" s="46" t="n"/>
      <c r="L32" s="18" t="n"/>
      <c r="M32" s="20" t="n"/>
      <c r="N32" s="20" t="n"/>
      <c r="O32" s="18" t="n"/>
      <c r="P32" s="20" t="n"/>
      <c r="Q32" s="20" t="n"/>
      <c r="R32" s="20" t="n"/>
      <c r="S32" s="20" t="n"/>
      <c r="T32" s="18" t="n"/>
      <c r="U32" s="47" t="n"/>
      <c r="V32" s="18" t="n"/>
      <c r="W32" s="20" t="n"/>
      <c r="X32" s="18" t="n"/>
      <c r="Y32" s="48" t="n"/>
      <c r="Z32" s="18" t="n"/>
      <c r="AA32" s="18" t="n"/>
      <c r="AB32" s="18" t="n"/>
      <c r="AC32" s="18" t="n"/>
      <c r="AD32" s="48" t="n"/>
      <c r="AE32" s="18" t="n"/>
      <c r="AF32" s="18" t="n"/>
      <c r="AG32" s="46" t="n"/>
      <c r="AH32" s="18" t="n"/>
      <c r="AI32" s="18" t="n"/>
      <c r="AJ32" s="18" t="n"/>
      <c r="AK32" s="18" t="n"/>
      <c r="AL32" s="18" t="n"/>
      <c r="AM32" s="18" t="n"/>
      <c r="AN32" s="46" t="n"/>
      <c r="AO32" s="18" t="n"/>
      <c r="AP32" s="18" t="n"/>
      <c r="AQ32" s="12">
        <f>IF($A32="","",IF(AR32&gt;0,"未入力","CSV可"))</f>
        <v/>
      </c>
      <c r="AR32">
        <f>IF($A32="","",IF($A32="",1,0)+IF($B32="",1,0)+IF($C32="",1,0)+IF($D32="",1,0)+IF($E32="",1,0)+IF($F32="",1,0)+IF($G32="",1,0)+IF($H32="",1,0)+IF($I32="",1,0)+IF($L32="",1,0)+IF(AND(OR(ISNUMBER(SEARCH("産前産後",$L32)),ISNUMBER(SEARCH("産休",$L32))),$M32=""),1,0)+IF(AND(OR(ISNUMBER(SEARCH("産前産後",$L32)),ISNUMBER(SEARCH("産休",$L32))),$P32=""),1,0)+IF(AND(OR(ISNUMBER(SEARCH("産前産後",$L32)),ISNUMBER(SEARCH("産休",$L32))),$Q32=""),1,0)+IF(AND(OR(ISNUMBER(SEARCH("産前産後",$L32)),ISNUMBER(SEARCH("産休",$L32))),$O32=""),1,0)+IF(AND(OR(ISNUMBER(SEARCH("産前産後",$L32)),ISNUMBER(SEARCH("産休",$L32))),$AB32=""),1,0)+IF(AND(OR(ISNUMBER(SEARCH("産前産後",$L32)),ISNUMBER(SEARCH("産休",$L32))),$AC32=""),1,0)+IF(AND(OR(ISNUMBER(SEARCH("産前産後",$L32)),ISNUMBER(SEARCH("産休",$L32))),$AF32=""),1,0)+IF(AND(OR(ISNUMBER(SEARCH("産前産後",$L32)),ISNUMBER(SEARCH("産休",$L32))),$AG32=""),1,0)+IF(AND(OR(ISNUMBER(SEARCH("産前産後",$L32)),ISNUMBER(SEARCH("産休",$L32))),$AJ32=""),1,0)+IF(AND(OR(ISNUMBER(SEARCH("育児休業",$L32)),ISNUMBER(SEARCH("育休",$L32))),$R32=""),1,0)+IF(AND(OR(ISNUMBER(SEARCH("育児休業",$L32)),ISNUMBER(SEARCH("育休",$L32))),$S32=""),1,0)+IF(AND(OR(ISNUMBER(SEARCH("育児休業",$L32)),ISNUMBER(SEARCH("育休",$L32))),$Z32=""),1,0)+IF(AND(OR(ISNUMBER(SEARCH("育児休業",$L32)),ISNUMBER(SEARCH("育休",$L32))),$AK32=""),1,0)+IF(AND(OR(ISNUMBER(SEARCH("育児休業",$L32)),ISNUMBER(SEARCH("育休",$L32))),$AL32=""),1,0)+IF(AND(OR(ISNUMBER(SEARCH("育児休業",$L32)),ISNUMBER(SEARCH("育休",$L32))),$AO32=""),1,0)+IF(AND($AH32="ある",$AI32=""),1,0))</f>
        <v/>
      </c>
    </row>
    <row r="33">
      <c r="A33" s="18" t="n"/>
      <c r="B33" s="18" t="n"/>
      <c r="C33" s="20" t="n"/>
      <c r="D33" s="46" t="n"/>
      <c r="E33" s="46" t="n"/>
      <c r="F33" s="46" t="n"/>
      <c r="G33" s="46" t="n"/>
      <c r="H33" s="18" t="n"/>
      <c r="I33" s="18" t="n"/>
      <c r="J33" s="18" t="n"/>
      <c r="K33" s="46" t="n"/>
      <c r="L33" s="18" t="n"/>
      <c r="M33" s="20" t="n"/>
      <c r="N33" s="20" t="n"/>
      <c r="O33" s="18" t="n"/>
      <c r="P33" s="20" t="n"/>
      <c r="Q33" s="20" t="n"/>
      <c r="R33" s="20" t="n"/>
      <c r="S33" s="20" t="n"/>
      <c r="T33" s="18" t="n"/>
      <c r="U33" s="47" t="n"/>
      <c r="V33" s="18" t="n"/>
      <c r="W33" s="20" t="n"/>
      <c r="X33" s="18" t="n"/>
      <c r="Y33" s="48" t="n"/>
      <c r="Z33" s="18" t="n"/>
      <c r="AA33" s="18" t="n"/>
      <c r="AB33" s="18" t="n"/>
      <c r="AC33" s="18" t="n"/>
      <c r="AD33" s="48" t="n"/>
      <c r="AE33" s="18" t="n"/>
      <c r="AF33" s="18" t="n"/>
      <c r="AG33" s="46" t="n"/>
      <c r="AH33" s="18" t="n"/>
      <c r="AI33" s="18" t="n"/>
      <c r="AJ33" s="18" t="n"/>
      <c r="AK33" s="18" t="n"/>
      <c r="AL33" s="18" t="n"/>
      <c r="AM33" s="18" t="n"/>
      <c r="AN33" s="46" t="n"/>
      <c r="AO33" s="18" t="n"/>
      <c r="AP33" s="18" t="n"/>
      <c r="AQ33" s="12">
        <f>IF($A33="","",IF(AR33&gt;0,"未入力","CSV可"))</f>
        <v/>
      </c>
      <c r="AR33">
        <f>IF($A33="","",IF($A33="",1,0)+IF($B33="",1,0)+IF($C33="",1,0)+IF($D33="",1,0)+IF($E33="",1,0)+IF($F33="",1,0)+IF($G33="",1,0)+IF($H33="",1,0)+IF($I33="",1,0)+IF($L33="",1,0)+IF(AND(OR(ISNUMBER(SEARCH("産前産後",$L33)),ISNUMBER(SEARCH("産休",$L33))),$M33=""),1,0)+IF(AND(OR(ISNUMBER(SEARCH("産前産後",$L33)),ISNUMBER(SEARCH("産休",$L33))),$P33=""),1,0)+IF(AND(OR(ISNUMBER(SEARCH("産前産後",$L33)),ISNUMBER(SEARCH("産休",$L33))),$Q33=""),1,0)+IF(AND(OR(ISNUMBER(SEARCH("産前産後",$L33)),ISNUMBER(SEARCH("産休",$L33))),$O33=""),1,0)+IF(AND(OR(ISNUMBER(SEARCH("産前産後",$L33)),ISNUMBER(SEARCH("産休",$L33))),$AB33=""),1,0)+IF(AND(OR(ISNUMBER(SEARCH("産前産後",$L33)),ISNUMBER(SEARCH("産休",$L33))),$AC33=""),1,0)+IF(AND(OR(ISNUMBER(SEARCH("産前産後",$L33)),ISNUMBER(SEARCH("産休",$L33))),$AF33=""),1,0)+IF(AND(OR(ISNUMBER(SEARCH("産前産後",$L33)),ISNUMBER(SEARCH("産休",$L33))),$AG33=""),1,0)+IF(AND(OR(ISNUMBER(SEARCH("産前産後",$L33)),ISNUMBER(SEARCH("産休",$L33))),$AJ33=""),1,0)+IF(AND(OR(ISNUMBER(SEARCH("育児休業",$L33)),ISNUMBER(SEARCH("育休",$L33))),$R33=""),1,0)+IF(AND(OR(ISNUMBER(SEARCH("育児休業",$L33)),ISNUMBER(SEARCH("育休",$L33))),$S33=""),1,0)+IF(AND(OR(ISNUMBER(SEARCH("育児休業",$L33)),ISNUMBER(SEARCH("育休",$L33))),$Z33=""),1,0)+IF(AND(OR(ISNUMBER(SEARCH("育児休業",$L33)),ISNUMBER(SEARCH("育休",$L33))),$AK33=""),1,0)+IF(AND(OR(ISNUMBER(SEARCH("育児休業",$L33)),ISNUMBER(SEARCH("育休",$L33))),$AL33=""),1,0)+IF(AND(OR(ISNUMBER(SEARCH("育児休業",$L33)),ISNUMBER(SEARCH("育休",$L33))),$AO33=""),1,0)+IF(AND($AH33="ある",$AI33=""),1,0))</f>
        <v/>
      </c>
    </row>
    <row r="34">
      <c r="A34" s="18" t="n"/>
      <c r="B34" s="18" t="n"/>
      <c r="C34" s="20" t="n"/>
      <c r="D34" s="46" t="n"/>
      <c r="E34" s="46" t="n"/>
      <c r="F34" s="46" t="n"/>
      <c r="G34" s="46" t="n"/>
      <c r="H34" s="18" t="n"/>
      <c r="I34" s="18" t="n"/>
      <c r="J34" s="18" t="n"/>
      <c r="K34" s="46" t="n"/>
      <c r="L34" s="18" t="n"/>
      <c r="M34" s="20" t="n"/>
      <c r="N34" s="20" t="n"/>
      <c r="O34" s="18" t="n"/>
      <c r="P34" s="20" t="n"/>
      <c r="Q34" s="20" t="n"/>
      <c r="R34" s="20" t="n"/>
      <c r="S34" s="20" t="n"/>
      <c r="T34" s="18" t="n"/>
      <c r="U34" s="47" t="n"/>
      <c r="V34" s="18" t="n"/>
      <c r="W34" s="20" t="n"/>
      <c r="X34" s="18" t="n"/>
      <c r="Y34" s="48" t="n"/>
      <c r="Z34" s="18" t="n"/>
      <c r="AA34" s="18" t="n"/>
      <c r="AB34" s="18" t="n"/>
      <c r="AC34" s="18" t="n"/>
      <c r="AD34" s="48" t="n"/>
      <c r="AE34" s="18" t="n"/>
      <c r="AF34" s="18" t="n"/>
      <c r="AG34" s="46" t="n"/>
      <c r="AH34" s="18" t="n"/>
      <c r="AI34" s="18" t="n"/>
      <c r="AJ34" s="18" t="n"/>
      <c r="AK34" s="18" t="n"/>
      <c r="AL34" s="18" t="n"/>
      <c r="AM34" s="18" t="n"/>
      <c r="AN34" s="46" t="n"/>
      <c r="AO34" s="18" t="n"/>
      <c r="AP34" s="18" t="n"/>
      <c r="AQ34" s="12">
        <f>IF($A34="","",IF(AR34&gt;0,"未入力","CSV可"))</f>
        <v/>
      </c>
      <c r="AR34">
        <f>IF($A34="","",IF($A34="",1,0)+IF($B34="",1,0)+IF($C34="",1,0)+IF($D34="",1,0)+IF($E34="",1,0)+IF($F34="",1,0)+IF($G34="",1,0)+IF($H34="",1,0)+IF($I34="",1,0)+IF($L34="",1,0)+IF(AND(OR(ISNUMBER(SEARCH("産前産後",$L34)),ISNUMBER(SEARCH("産休",$L34))),$M34=""),1,0)+IF(AND(OR(ISNUMBER(SEARCH("産前産後",$L34)),ISNUMBER(SEARCH("産休",$L34))),$P34=""),1,0)+IF(AND(OR(ISNUMBER(SEARCH("産前産後",$L34)),ISNUMBER(SEARCH("産休",$L34))),$Q34=""),1,0)+IF(AND(OR(ISNUMBER(SEARCH("産前産後",$L34)),ISNUMBER(SEARCH("産休",$L34))),$O34=""),1,0)+IF(AND(OR(ISNUMBER(SEARCH("産前産後",$L34)),ISNUMBER(SEARCH("産休",$L34))),$AB34=""),1,0)+IF(AND(OR(ISNUMBER(SEARCH("産前産後",$L34)),ISNUMBER(SEARCH("産休",$L34))),$AC34=""),1,0)+IF(AND(OR(ISNUMBER(SEARCH("産前産後",$L34)),ISNUMBER(SEARCH("産休",$L34))),$AF34=""),1,0)+IF(AND(OR(ISNUMBER(SEARCH("産前産後",$L34)),ISNUMBER(SEARCH("産休",$L34))),$AG34=""),1,0)+IF(AND(OR(ISNUMBER(SEARCH("産前産後",$L34)),ISNUMBER(SEARCH("産休",$L34))),$AJ34=""),1,0)+IF(AND(OR(ISNUMBER(SEARCH("育児休業",$L34)),ISNUMBER(SEARCH("育休",$L34))),$R34=""),1,0)+IF(AND(OR(ISNUMBER(SEARCH("育児休業",$L34)),ISNUMBER(SEARCH("育休",$L34))),$S34=""),1,0)+IF(AND(OR(ISNUMBER(SEARCH("育児休業",$L34)),ISNUMBER(SEARCH("育休",$L34))),$Z34=""),1,0)+IF(AND(OR(ISNUMBER(SEARCH("育児休業",$L34)),ISNUMBER(SEARCH("育休",$L34))),$AK34=""),1,0)+IF(AND(OR(ISNUMBER(SEARCH("育児休業",$L34)),ISNUMBER(SEARCH("育休",$L34))),$AL34=""),1,0)+IF(AND(OR(ISNUMBER(SEARCH("育児休業",$L34)),ISNUMBER(SEARCH("育休",$L34))),$AO34=""),1,0)+IF(AND($AH34="ある",$AI34=""),1,0))</f>
        <v/>
      </c>
    </row>
    <row r="35">
      <c r="A35" s="18" t="n"/>
      <c r="B35" s="18" t="n"/>
      <c r="C35" s="20" t="n"/>
      <c r="D35" s="46" t="n"/>
      <c r="E35" s="46" t="n"/>
      <c r="F35" s="46" t="n"/>
      <c r="G35" s="46" t="n"/>
      <c r="H35" s="18" t="n"/>
      <c r="I35" s="18" t="n"/>
      <c r="J35" s="18" t="n"/>
      <c r="K35" s="46" t="n"/>
      <c r="L35" s="18" t="n"/>
      <c r="M35" s="20" t="n"/>
      <c r="N35" s="20" t="n"/>
      <c r="O35" s="18" t="n"/>
      <c r="P35" s="20" t="n"/>
      <c r="Q35" s="20" t="n"/>
      <c r="R35" s="20" t="n"/>
      <c r="S35" s="20" t="n"/>
      <c r="T35" s="18" t="n"/>
      <c r="U35" s="47" t="n"/>
      <c r="V35" s="18" t="n"/>
      <c r="W35" s="20" t="n"/>
      <c r="X35" s="18" t="n"/>
      <c r="Y35" s="48" t="n"/>
      <c r="Z35" s="18" t="n"/>
      <c r="AA35" s="18" t="n"/>
      <c r="AB35" s="18" t="n"/>
      <c r="AC35" s="18" t="n"/>
      <c r="AD35" s="48" t="n"/>
      <c r="AE35" s="18" t="n"/>
      <c r="AF35" s="18" t="n"/>
      <c r="AG35" s="46" t="n"/>
      <c r="AH35" s="18" t="n"/>
      <c r="AI35" s="18" t="n"/>
      <c r="AJ35" s="18" t="n"/>
      <c r="AK35" s="18" t="n"/>
      <c r="AL35" s="18" t="n"/>
      <c r="AM35" s="18" t="n"/>
      <c r="AN35" s="46" t="n"/>
      <c r="AO35" s="18" t="n"/>
      <c r="AP35" s="18" t="n"/>
      <c r="AQ35" s="12">
        <f>IF($A35="","",IF(AR35&gt;0,"未入力","CSV可"))</f>
        <v/>
      </c>
      <c r="AR35">
        <f>IF($A35="","",IF($A35="",1,0)+IF($B35="",1,0)+IF($C35="",1,0)+IF($D35="",1,0)+IF($E35="",1,0)+IF($F35="",1,0)+IF($G35="",1,0)+IF($H35="",1,0)+IF($I35="",1,0)+IF($L35="",1,0)+IF(AND(OR(ISNUMBER(SEARCH("産前産後",$L35)),ISNUMBER(SEARCH("産休",$L35))),$M35=""),1,0)+IF(AND(OR(ISNUMBER(SEARCH("産前産後",$L35)),ISNUMBER(SEARCH("産休",$L35))),$P35=""),1,0)+IF(AND(OR(ISNUMBER(SEARCH("産前産後",$L35)),ISNUMBER(SEARCH("産休",$L35))),$Q35=""),1,0)+IF(AND(OR(ISNUMBER(SEARCH("産前産後",$L35)),ISNUMBER(SEARCH("産休",$L35))),$O35=""),1,0)+IF(AND(OR(ISNUMBER(SEARCH("産前産後",$L35)),ISNUMBER(SEARCH("産休",$L35))),$AB35=""),1,0)+IF(AND(OR(ISNUMBER(SEARCH("産前産後",$L35)),ISNUMBER(SEARCH("産休",$L35))),$AC35=""),1,0)+IF(AND(OR(ISNUMBER(SEARCH("産前産後",$L35)),ISNUMBER(SEARCH("産休",$L35))),$AF35=""),1,0)+IF(AND(OR(ISNUMBER(SEARCH("産前産後",$L35)),ISNUMBER(SEARCH("産休",$L35))),$AG35=""),1,0)+IF(AND(OR(ISNUMBER(SEARCH("産前産後",$L35)),ISNUMBER(SEARCH("産休",$L35))),$AJ35=""),1,0)+IF(AND(OR(ISNUMBER(SEARCH("育児休業",$L35)),ISNUMBER(SEARCH("育休",$L35))),$R35=""),1,0)+IF(AND(OR(ISNUMBER(SEARCH("育児休業",$L35)),ISNUMBER(SEARCH("育休",$L35))),$S35=""),1,0)+IF(AND(OR(ISNUMBER(SEARCH("育児休業",$L35)),ISNUMBER(SEARCH("育休",$L35))),$Z35=""),1,0)+IF(AND(OR(ISNUMBER(SEARCH("育児休業",$L35)),ISNUMBER(SEARCH("育休",$L35))),$AK35=""),1,0)+IF(AND(OR(ISNUMBER(SEARCH("育児休業",$L35)),ISNUMBER(SEARCH("育休",$L35))),$AL35=""),1,0)+IF(AND(OR(ISNUMBER(SEARCH("育児休業",$L35)),ISNUMBER(SEARCH("育休",$L35))),$AO35=""),1,0)+IF(AND($AH35="ある",$AI35=""),1,0))</f>
        <v/>
      </c>
    </row>
    <row r="36">
      <c r="A36" s="18" t="n"/>
      <c r="B36" s="18" t="n"/>
      <c r="C36" s="20" t="n"/>
      <c r="D36" s="46" t="n"/>
      <c r="E36" s="46" t="n"/>
      <c r="F36" s="46" t="n"/>
      <c r="G36" s="46" t="n"/>
      <c r="H36" s="18" t="n"/>
      <c r="I36" s="18" t="n"/>
      <c r="J36" s="18" t="n"/>
      <c r="K36" s="46" t="n"/>
      <c r="L36" s="18" t="n"/>
      <c r="M36" s="20" t="n"/>
      <c r="N36" s="20" t="n"/>
      <c r="O36" s="18" t="n"/>
      <c r="P36" s="20" t="n"/>
      <c r="Q36" s="20" t="n"/>
      <c r="R36" s="20" t="n"/>
      <c r="S36" s="20" t="n"/>
      <c r="T36" s="18" t="n"/>
      <c r="U36" s="47" t="n"/>
      <c r="V36" s="18" t="n"/>
      <c r="W36" s="20" t="n"/>
      <c r="X36" s="18" t="n"/>
      <c r="Y36" s="48" t="n"/>
      <c r="Z36" s="18" t="n"/>
      <c r="AA36" s="18" t="n"/>
      <c r="AB36" s="18" t="n"/>
      <c r="AC36" s="18" t="n"/>
      <c r="AD36" s="48" t="n"/>
      <c r="AE36" s="18" t="n"/>
      <c r="AF36" s="18" t="n"/>
      <c r="AG36" s="46" t="n"/>
      <c r="AH36" s="18" t="n"/>
      <c r="AI36" s="18" t="n"/>
      <c r="AJ36" s="18" t="n"/>
      <c r="AK36" s="18" t="n"/>
      <c r="AL36" s="18" t="n"/>
      <c r="AM36" s="18" t="n"/>
      <c r="AN36" s="46" t="n"/>
      <c r="AO36" s="18" t="n"/>
      <c r="AP36" s="18" t="n"/>
      <c r="AQ36" s="12">
        <f>IF($A36="","",IF(AR36&gt;0,"未入力","CSV可"))</f>
        <v/>
      </c>
      <c r="AR36">
        <f>IF($A36="","",IF($A36="",1,0)+IF($B36="",1,0)+IF($C36="",1,0)+IF($D36="",1,0)+IF($E36="",1,0)+IF($F36="",1,0)+IF($G36="",1,0)+IF($H36="",1,0)+IF($I36="",1,0)+IF($L36="",1,0)+IF(AND(OR(ISNUMBER(SEARCH("産前産後",$L36)),ISNUMBER(SEARCH("産休",$L36))),$M36=""),1,0)+IF(AND(OR(ISNUMBER(SEARCH("産前産後",$L36)),ISNUMBER(SEARCH("産休",$L36))),$P36=""),1,0)+IF(AND(OR(ISNUMBER(SEARCH("産前産後",$L36)),ISNUMBER(SEARCH("産休",$L36))),$Q36=""),1,0)+IF(AND(OR(ISNUMBER(SEARCH("産前産後",$L36)),ISNUMBER(SEARCH("産休",$L36))),$O36=""),1,0)+IF(AND(OR(ISNUMBER(SEARCH("産前産後",$L36)),ISNUMBER(SEARCH("産休",$L36))),$AB36=""),1,0)+IF(AND(OR(ISNUMBER(SEARCH("産前産後",$L36)),ISNUMBER(SEARCH("産休",$L36))),$AC36=""),1,0)+IF(AND(OR(ISNUMBER(SEARCH("産前産後",$L36)),ISNUMBER(SEARCH("産休",$L36))),$AF36=""),1,0)+IF(AND(OR(ISNUMBER(SEARCH("産前産後",$L36)),ISNUMBER(SEARCH("産休",$L36))),$AG36=""),1,0)+IF(AND(OR(ISNUMBER(SEARCH("産前産後",$L36)),ISNUMBER(SEARCH("産休",$L36))),$AJ36=""),1,0)+IF(AND(OR(ISNUMBER(SEARCH("育児休業",$L36)),ISNUMBER(SEARCH("育休",$L36))),$R36=""),1,0)+IF(AND(OR(ISNUMBER(SEARCH("育児休業",$L36)),ISNUMBER(SEARCH("育休",$L36))),$S36=""),1,0)+IF(AND(OR(ISNUMBER(SEARCH("育児休業",$L36)),ISNUMBER(SEARCH("育休",$L36))),$Z36=""),1,0)+IF(AND(OR(ISNUMBER(SEARCH("育児休業",$L36)),ISNUMBER(SEARCH("育休",$L36))),$AK36=""),1,0)+IF(AND(OR(ISNUMBER(SEARCH("育児休業",$L36)),ISNUMBER(SEARCH("育休",$L36))),$AL36=""),1,0)+IF(AND(OR(ISNUMBER(SEARCH("育児休業",$L36)),ISNUMBER(SEARCH("育休",$L36))),$AO36=""),1,0)+IF(AND($AH36="ある",$AI36=""),1,0))</f>
        <v/>
      </c>
    </row>
    <row r="37">
      <c r="A37" s="18" t="n"/>
      <c r="B37" s="18" t="n"/>
      <c r="C37" s="20" t="n"/>
      <c r="D37" s="46" t="n"/>
      <c r="E37" s="46" t="n"/>
      <c r="F37" s="46" t="n"/>
      <c r="G37" s="46" t="n"/>
      <c r="H37" s="18" t="n"/>
      <c r="I37" s="18" t="n"/>
      <c r="J37" s="18" t="n"/>
      <c r="K37" s="46" t="n"/>
      <c r="L37" s="18" t="n"/>
      <c r="M37" s="20" t="n"/>
      <c r="N37" s="20" t="n"/>
      <c r="O37" s="18" t="n"/>
      <c r="P37" s="20" t="n"/>
      <c r="Q37" s="20" t="n"/>
      <c r="R37" s="20" t="n"/>
      <c r="S37" s="20" t="n"/>
      <c r="T37" s="18" t="n"/>
      <c r="U37" s="47" t="n"/>
      <c r="V37" s="18" t="n"/>
      <c r="W37" s="20" t="n"/>
      <c r="X37" s="18" t="n"/>
      <c r="Y37" s="48" t="n"/>
      <c r="Z37" s="18" t="n"/>
      <c r="AA37" s="18" t="n"/>
      <c r="AB37" s="18" t="n"/>
      <c r="AC37" s="18" t="n"/>
      <c r="AD37" s="48" t="n"/>
      <c r="AE37" s="18" t="n"/>
      <c r="AF37" s="18" t="n"/>
      <c r="AG37" s="46" t="n"/>
      <c r="AH37" s="18" t="n"/>
      <c r="AI37" s="18" t="n"/>
      <c r="AJ37" s="18" t="n"/>
      <c r="AK37" s="18" t="n"/>
      <c r="AL37" s="18" t="n"/>
      <c r="AM37" s="18" t="n"/>
      <c r="AN37" s="46" t="n"/>
      <c r="AO37" s="18" t="n"/>
      <c r="AP37" s="18" t="n"/>
      <c r="AQ37" s="12">
        <f>IF($A37="","",IF(AR37&gt;0,"未入力","CSV可"))</f>
        <v/>
      </c>
      <c r="AR37">
        <f>IF($A37="","",IF($A37="",1,0)+IF($B37="",1,0)+IF($C37="",1,0)+IF($D37="",1,0)+IF($E37="",1,0)+IF($F37="",1,0)+IF($G37="",1,0)+IF($H37="",1,0)+IF($I37="",1,0)+IF($L37="",1,0)+IF(AND(OR(ISNUMBER(SEARCH("産前産後",$L37)),ISNUMBER(SEARCH("産休",$L37))),$M37=""),1,0)+IF(AND(OR(ISNUMBER(SEARCH("産前産後",$L37)),ISNUMBER(SEARCH("産休",$L37))),$P37=""),1,0)+IF(AND(OR(ISNUMBER(SEARCH("産前産後",$L37)),ISNUMBER(SEARCH("産休",$L37))),$Q37=""),1,0)+IF(AND(OR(ISNUMBER(SEARCH("産前産後",$L37)),ISNUMBER(SEARCH("産休",$L37))),$O37=""),1,0)+IF(AND(OR(ISNUMBER(SEARCH("産前産後",$L37)),ISNUMBER(SEARCH("産休",$L37))),$AB37=""),1,0)+IF(AND(OR(ISNUMBER(SEARCH("産前産後",$L37)),ISNUMBER(SEARCH("産休",$L37))),$AC37=""),1,0)+IF(AND(OR(ISNUMBER(SEARCH("産前産後",$L37)),ISNUMBER(SEARCH("産休",$L37))),$AF37=""),1,0)+IF(AND(OR(ISNUMBER(SEARCH("産前産後",$L37)),ISNUMBER(SEARCH("産休",$L37))),$AG37=""),1,0)+IF(AND(OR(ISNUMBER(SEARCH("産前産後",$L37)),ISNUMBER(SEARCH("産休",$L37))),$AJ37=""),1,0)+IF(AND(OR(ISNUMBER(SEARCH("育児休業",$L37)),ISNUMBER(SEARCH("育休",$L37))),$R37=""),1,0)+IF(AND(OR(ISNUMBER(SEARCH("育児休業",$L37)),ISNUMBER(SEARCH("育休",$L37))),$S37=""),1,0)+IF(AND(OR(ISNUMBER(SEARCH("育児休業",$L37)),ISNUMBER(SEARCH("育休",$L37))),$Z37=""),1,0)+IF(AND(OR(ISNUMBER(SEARCH("育児休業",$L37)),ISNUMBER(SEARCH("育休",$L37))),$AK37=""),1,0)+IF(AND(OR(ISNUMBER(SEARCH("育児休業",$L37)),ISNUMBER(SEARCH("育休",$L37))),$AL37=""),1,0)+IF(AND(OR(ISNUMBER(SEARCH("育児休業",$L37)),ISNUMBER(SEARCH("育休",$L37))),$AO37=""),1,0)+IF(AND($AH37="ある",$AI37=""),1,0))</f>
        <v/>
      </c>
    </row>
    <row r="38">
      <c r="A38" s="18" t="n"/>
      <c r="B38" s="18" t="n"/>
      <c r="C38" s="20" t="n"/>
      <c r="D38" s="46" t="n"/>
      <c r="E38" s="46" t="n"/>
      <c r="F38" s="46" t="n"/>
      <c r="G38" s="46" t="n"/>
      <c r="H38" s="18" t="n"/>
      <c r="I38" s="18" t="n"/>
      <c r="J38" s="18" t="n"/>
      <c r="K38" s="46" t="n"/>
      <c r="L38" s="18" t="n"/>
      <c r="M38" s="20" t="n"/>
      <c r="N38" s="20" t="n"/>
      <c r="O38" s="18" t="n"/>
      <c r="P38" s="20" t="n"/>
      <c r="Q38" s="20" t="n"/>
      <c r="R38" s="20" t="n"/>
      <c r="S38" s="20" t="n"/>
      <c r="T38" s="18" t="n"/>
      <c r="U38" s="47" t="n"/>
      <c r="V38" s="18" t="n"/>
      <c r="W38" s="20" t="n"/>
      <c r="X38" s="18" t="n"/>
      <c r="Y38" s="48" t="n"/>
      <c r="Z38" s="18" t="n"/>
      <c r="AA38" s="18" t="n"/>
      <c r="AB38" s="18" t="n"/>
      <c r="AC38" s="18" t="n"/>
      <c r="AD38" s="48" t="n"/>
      <c r="AE38" s="18" t="n"/>
      <c r="AF38" s="18" t="n"/>
      <c r="AG38" s="46" t="n"/>
      <c r="AH38" s="18" t="n"/>
      <c r="AI38" s="18" t="n"/>
      <c r="AJ38" s="18" t="n"/>
      <c r="AK38" s="18" t="n"/>
      <c r="AL38" s="18" t="n"/>
      <c r="AM38" s="18" t="n"/>
      <c r="AN38" s="46" t="n"/>
      <c r="AO38" s="18" t="n"/>
      <c r="AP38" s="18" t="n"/>
      <c r="AQ38" s="12">
        <f>IF($A38="","",IF(AR38&gt;0,"未入力","CSV可"))</f>
        <v/>
      </c>
      <c r="AR38">
        <f>IF($A38="","",IF($A38="",1,0)+IF($B38="",1,0)+IF($C38="",1,0)+IF($D38="",1,0)+IF($E38="",1,0)+IF($F38="",1,0)+IF($G38="",1,0)+IF($H38="",1,0)+IF($I38="",1,0)+IF($L38="",1,0)+IF(AND(OR(ISNUMBER(SEARCH("産前産後",$L38)),ISNUMBER(SEARCH("産休",$L38))),$M38=""),1,0)+IF(AND(OR(ISNUMBER(SEARCH("産前産後",$L38)),ISNUMBER(SEARCH("産休",$L38))),$P38=""),1,0)+IF(AND(OR(ISNUMBER(SEARCH("産前産後",$L38)),ISNUMBER(SEARCH("産休",$L38))),$Q38=""),1,0)+IF(AND(OR(ISNUMBER(SEARCH("産前産後",$L38)),ISNUMBER(SEARCH("産休",$L38))),$O38=""),1,0)+IF(AND(OR(ISNUMBER(SEARCH("産前産後",$L38)),ISNUMBER(SEARCH("産休",$L38))),$AB38=""),1,0)+IF(AND(OR(ISNUMBER(SEARCH("産前産後",$L38)),ISNUMBER(SEARCH("産休",$L38))),$AC38=""),1,0)+IF(AND(OR(ISNUMBER(SEARCH("産前産後",$L38)),ISNUMBER(SEARCH("産休",$L38))),$AF38=""),1,0)+IF(AND(OR(ISNUMBER(SEARCH("産前産後",$L38)),ISNUMBER(SEARCH("産休",$L38))),$AG38=""),1,0)+IF(AND(OR(ISNUMBER(SEARCH("産前産後",$L38)),ISNUMBER(SEARCH("産休",$L38))),$AJ38=""),1,0)+IF(AND(OR(ISNUMBER(SEARCH("育児休業",$L38)),ISNUMBER(SEARCH("育休",$L38))),$R38=""),1,0)+IF(AND(OR(ISNUMBER(SEARCH("育児休業",$L38)),ISNUMBER(SEARCH("育休",$L38))),$S38=""),1,0)+IF(AND(OR(ISNUMBER(SEARCH("育児休業",$L38)),ISNUMBER(SEARCH("育休",$L38))),$Z38=""),1,0)+IF(AND(OR(ISNUMBER(SEARCH("育児休業",$L38)),ISNUMBER(SEARCH("育休",$L38))),$AK38=""),1,0)+IF(AND(OR(ISNUMBER(SEARCH("育児休業",$L38)),ISNUMBER(SEARCH("育休",$L38))),$AL38=""),1,0)+IF(AND(OR(ISNUMBER(SEARCH("育児休業",$L38)),ISNUMBER(SEARCH("育休",$L38))),$AO38=""),1,0)+IF(AND($AH38="ある",$AI38=""),1,0))</f>
        <v/>
      </c>
    </row>
    <row r="39">
      <c r="A39" s="18" t="n"/>
      <c r="B39" s="18" t="n"/>
      <c r="C39" s="20" t="n"/>
      <c r="D39" s="46" t="n"/>
      <c r="E39" s="46" t="n"/>
      <c r="F39" s="46" t="n"/>
      <c r="G39" s="46" t="n"/>
      <c r="H39" s="18" t="n"/>
      <c r="I39" s="18" t="n"/>
      <c r="J39" s="18" t="n"/>
      <c r="K39" s="46" t="n"/>
      <c r="L39" s="18" t="n"/>
      <c r="M39" s="20" t="n"/>
      <c r="N39" s="20" t="n"/>
      <c r="O39" s="18" t="n"/>
      <c r="P39" s="20" t="n"/>
      <c r="Q39" s="20" t="n"/>
      <c r="R39" s="20" t="n"/>
      <c r="S39" s="20" t="n"/>
      <c r="T39" s="18" t="n"/>
      <c r="U39" s="47" t="n"/>
      <c r="V39" s="18" t="n"/>
      <c r="W39" s="20" t="n"/>
      <c r="X39" s="18" t="n"/>
      <c r="Y39" s="48" t="n"/>
      <c r="Z39" s="18" t="n"/>
      <c r="AA39" s="18" t="n"/>
      <c r="AB39" s="18" t="n"/>
      <c r="AC39" s="18" t="n"/>
      <c r="AD39" s="48" t="n"/>
      <c r="AE39" s="18" t="n"/>
      <c r="AF39" s="18" t="n"/>
      <c r="AG39" s="46" t="n"/>
      <c r="AH39" s="18" t="n"/>
      <c r="AI39" s="18" t="n"/>
      <c r="AJ39" s="18" t="n"/>
      <c r="AK39" s="18" t="n"/>
      <c r="AL39" s="18" t="n"/>
      <c r="AM39" s="18" t="n"/>
      <c r="AN39" s="46" t="n"/>
      <c r="AO39" s="18" t="n"/>
      <c r="AP39" s="18" t="n"/>
      <c r="AQ39" s="12">
        <f>IF($A39="","",IF(AR39&gt;0,"未入力","CSV可"))</f>
        <v/>
      </c>
      <c r="AR39">
        <f>IF($A39="","",IF($A39="",1,0)+IF($B39="",1,0)+IF($C39="",1,0)+IF($D39="",1,0)+IF($E39="",1,0)+IF($F39="",1,0)+IF($G39="",1,0)+IF($H39="",1,0)+IF($I39="",1,0)+IF($L39="",1,0)+IF(AND(OR(ISNUMBER(SEARCH("産前産後",$L39)),ISNUMBER(SEARCH("産休",$L39))),$M39=""),1,0)+IF(AND(OR(ISNUMBER(SEARCH("産前産後",$L39)),ISNUMBER(SEARCH("産休",$L39))),$P39=""),1,0)+IF(AND(OR(ISNUMBER(SEARCH("産前産後",$L39)),ISNUMBER(SEARCH("産休",$L39))),$Q39=""),1,0)+IF(AND(OR(ISNUMBER(SEARCH("産前産後",$L39)),ISNUMBER(SEARCH("産休",$L39))),$O39=""),1,0)+IF(AND(OR(ISNUMBER(SEARCH("産前産後",$L39)),ISNUMBER(SEARCH("産休",$L39))),$AB39=""),1,0)+IF(AND(OR(ISNUMBER(SEARCH("産前産後",$L39)),ISNUMBER(SEARCH("産休",$L39))),$AC39=""),1,0)+IF(AND(OR(ISNUMBER(SEARCH("産前産後",$L39)),ISNUMBER(SEARCH("産休",$L39))),$AF39=""),1,0)+IF(AND(OR(ISNUMBER(SEARCH("産前産後",$L39)),ISNUMBER(SEARCH("産休",$L39))),$AG39=""),1,0)+IF(AND(OR(ISNUMBER(SEARCH("産前産後",$L39)),ISNUMBER(SEARCH("産休",$L39))),$AJ39=""),1,0)+IF(AND(OR(ISNUMBER(SEARCH("育児休業",$L39)),ISNUMBER(SEARCH("育休",$L39))),$R39=""),1,0)+IF(AND(OR(ISNUMBER(SEARCH("育児休業",$L39)),ISNUMBER(SEARCH("育休",$L39))),$S39=""),1,0)+IF(AND(OR(ISNUMBER(SEARCH("育児休業",$L39)),ISNUMBER(SEARCH("育休",$L39))),$Z39=""),1,0)+IF(AND(OR(ISNUMBER(SEARCH("育児休業",$L39)),ISNUMBER(SEARCH("育休",$L39))),$AK39=""),1,0)+IF(AND(OR(ISNUMBER(SEARCH("育児休業",$L39)),ISNUMBER(SEARCH("育休",$L39))),$AL39=""),1,0)+IF(AND(OR(ISNUMBER(SEARCH("育児休業",$L39)),ISNUMBER(SEARCH("育休",$L39))),$AO39=""),1,0)+IF(AND($AH39="ある",$AI39=""),1,0))</f>
        <v/>
      </c>
    </row>
    <row r="40">
      <c r="A40" s="18" t="n"/>
      <c r="B40" s="18" t="n"/>
      <c r="C40" s="20" t="n"/>
      <c r="D40" s="46" t="n"/>
      <c r="E40" s="46" t="n"/>
      <c r="F40" s="46" t="n"/>
      <c r="G40" s="46" t="n"/>
      <c r="H40" s="18" t="n"/>
      <c r="I40" s="18" t="n"/>
      <c r="J40" s="18" t="n"/>
      <c r="K40" s="46" t="n"/>
      <c r="L40" s="18" t="n"/>
      <c r="M40" s="20" t="n"/>
      <c r="N40" s="20" t="n"/>
      <c r="O40" s="18" t="n"/>
      <c r="P40" s="20" t="n"/>
      <c r="Q40" s="20" t="n"/>
      <c r="R40" s="20" t="n"/>
      <c r="S40" s="20" t="n"/>
      <c r="T40" s="18" t="n"/>
      <c r="U40" s="47" t="n"/>
      <c r="V40" s="18" t="n"/>
      <c r="W40" s="20" t="n"/>
      <c r="X40" s="18" t="n"/>
      <c r="Y40" s="48" t="n"/>
      <c r="Z40" s="18" t="n"/>
      <c r="AA40" s="18" t="n"/>
      <c r="AB40" s="18" t="n"/>
      <c r="AC40" s="18" t="n"/>
      <c r="AD40" s="48" t="n"/>
      <c r="AE40" s="18" t="n"/>
      <c r="AF40" s="18" t="n"/>
      <c r="AG40" s="46" t="n"/>
      <c r="AH40" s="18" t="n"/>
      <c r="AI40" s="18" t="n"/>
      <c r="AJ40" s="18" t="n"/>
      <c r="AK40" s="18" t="n"/>
      <c r="AL40" s="18" t="n"/>
      <c r="AM40" s="18" t="n"/>
      <c r="AN40" s="46" t="n"/>
      <c r="AO40" s="18" t="n"/>
      <c r="AP40" s="18" t="n"/>
      <c r="AQ40" s="12">
        <f>IF($A40="","",IF(AR40&gt;0,"未入力","CSV可"))</f>
        <v/>
      </c>
      <c r="AR40">
        <f>IF($A40="","",IF($A40="",1,0)+IF($B40="",1,0)+IF($C40="",1,0)+IF($D40="",1,0)+IF($E40="",1,0)+IF($F40="",1,0)+IF($G40="",1,0)+IF($H40="",1,0)+IF($I40="",1,0)+IF($L40="",1,0)+IF(AND(OR(ISNUMBER(SEARCH("産前産後",$L40)),ISNUMBER(SEARCH("産休",$L40))),$M40=""),1,0)+IF(AND(OR(ISNUMBER(SEARCH("産前産後",$L40)),ISNUMBER(SEARCH("産休",$L40))),$P40=""),1,0)+IF(AND(OR(ISNUMBER(SEARCH("産前産後",$L40)),ISNUMBER(SEARCH("産休",$L40))),$Q40=""),1,0)+IF(AND(OR(ISNUMBER(SEARCH("産前産後",$L40)),ISNUMBER(SEARCH("産休",$L40))),$O40=""),1,0)+IF(AND(OR(ISNUMBER(SEARCH("産前産後",$L40)),ISNUMBER(SEARCH("産休",$L40))),$AB40=""),1,0)+IF(AND(OR(ISNUMBER(SEARCH("産前産後",$L40)),ISNUMBER(SEARCH("産休",$L40))),$AC40=""),1,0)+IF(AND(OR(ISNUMBER(SEARCH("産前産後",$L40)),ISNUMBER(SEARCH("産休",$L40))),$AF40=""),1,0)+IF(AND(OR(ISNUMBER(SEARCH("産前産後",$L40)),ISNUMBER(SEARCH("産休",$L40))),$AG40=""),1,0)+IF(AND(OR(ISNUMBER(SEARCH("産前産後",$L40)),ISNUMBER(SEARCH("産休",$L40))),$AJ40=""),1,0)+IF(AND(OR(ISNUMBER(SEARCH("育児休業",$L40)),ISNUMBER(SEARCH("育休",$L40))),$R40=""),1,0)+IF(AND(OR(ISNUMBER(SEARCH("育児休業",$L40)),ISNUMBER(SEARCH("育休",$L40))),$S40=""),1,0)+IF(AND(OR(ISNUMBER(SEARCH("育児休業",$L40)),ISNUMBER(SEARCH("育休",$L40))),$Z40=""),1,0)+IF(AND(OR(ISNUMBER(SEARCH("育児休業",$L40)),ISNUMBER(SEARCH("育休",$L40))),$AK40=""),1,0)+IF(AND(OR(ISNUMBER(SEARCH("育児休業",$L40)),ISNUMBER(SEARCH("育休",$L40))),$AL40=""),1,0)+IF(AND(OR(ISNUMBER(SEARCH("育児休業",$L40)),ISNUMBER(SEARCH("育休",$L40))),$AO40=""),1,0)+IF(AND($AH40="ある",$AI40=""),1,0))</f>
        <v/>
      </c>
    </row>
    <row r="41">
      <c r="A41" s="18" t="n"/>
      <c r="B41" s="18" t="n"/>
      <c r="C41" s="20" t="n"/>
      <c r="D41" s="46" t="n"/>
      <c r="E41" s="46" t="n"/>
      <c r="F41" s="46" t="n"/>
      <c r="G41" s="46" t="n"/>
      <c r="H41" s="18" t="n"/>
      <c r="I41" s="18" t="n"/>
      <c r="J41" s="18" t="n"/>
      <c r="K41" s="46" t="n"/>
      <c r="L41" s="18" t="n"/>
      <c r="M41" s="20" t="n"/>
      <c r="N41" s="20" t="n"/>
      <c r="O41" s="18" t="n"/>
      <c r="P41" s="20" t="n"/>
      <c r="Q41" s="20" t="n"/>
      <c r="R41" s="20" t="n"/>
      <c r="S41" s="20" t="n"/>
      <c r="T41" s="18" t="n"/>
      <c r="U41" s="47" t="n"/>
      <c r="V41" s="18" t="n"/>
      <c r="W41" s="20" t="n"/>
      <c r="X41" s="18" t="n"/>
      <c r="Y41" s="48" t="n"/>
      <c r="Z41" s="18" t="n"/>
      <c r="AA41" s="18" t="n"/>
      <c r="AB41" s="18" t="n"/>
      <c r="AC41" s="18" t="n"/>
      <c r="AD41" s="48" t="n"/>
      <c r="AE41" s="18" t="n"/>
      <c r="AF41" s="18" t="n"/>
      <c r="AG41" s="46" t="n"/>
      <c r="AH41" s="18" t="n"/>
      <c r="AI41" s="18" t="n"/>
      <c r="AJ41" s="18" t="n"/>
      <c r="AK41" s="18" t="n"/>
      <c r="AL41" s="18" t="n"/>
      <c r="AM41" s="18" t="n"/>
      <c r="AN41" s="46" t="n"/>
      <c r="AO41" s="18" t="n"/>
      <c r="AP41" s="18" t="n"/>
      <c r="AQ41" s="12">
        <f>IF($A41="","",IF(AR41&gt;0,"未入力","CSV可"))</f>
        <v/>
      </c>
      <c r="AR41">
        <f>IF($A41="","",IF($A41="",1,0)+IF($B41="",1,0)+IF($C41="",1,0)+IF($D41="",1,0)+IF($E41="",1,0)+IF($F41="",1,0)+IF($G41="",1,0)+IF($H41="",1,0)+IF($I41="",1,0)+IF($L41="",1,0)+IF(AND(OR(ISNUMBER(SEARCH("産前産後",$L41)),ISNUMBER(SEARCH("産休",$L41))),$M41=""),1,0)+IF(AND(OR(ISNUMBER(SEARCH("産前産後",$L41)),ISNUMBER(SEARCH("産休",$L41))),$P41=""),1,0)+IF(AND(OR(ISNUMBER(SEARCH("産前産後",$L41)),ISNUMBER(SEARCH("産休",$L41))),$Q41=""),1,0)+IF(AND(OR(ISNUMBER(SEARCH("産前産後",$L41)),ISNUMBER(SEARCH("産休",$L41))),$O41=""),1,0)+IF(AND(OR(ISNUMBER(SEARCH("産前産後",$L41)),ISNUMBER(SEARCH("産休",$L41))),$AB41=""),1,0)+IF(AND(OR(ISNUMBER(SEARCH("産前産後",$L41)),ISNUMBER(SEARCH("産休",$L41))),$AC41=""),1,0)+IF(AND(OR(ISNUMBER(SEARCH("産前産後",$L41)),ISNUMBER(SEARCH("産休",$L41))),$AF41=""),1,0)+IF(AND(OR(ISNUMBER(SEARCH("産前産後",$L41)),ISNUMBER(SEARCH("産休",$L41))),$AG41=""),1,0)+IF(AND(OR(ISNUMBER(SEARCH("産前産後",$L41)),ISNUMBER(SEARCH("産休",$L41))),$AJ41=""),1,0)+IF(AND(OR(ISNUMBER(SEARCH("育児休業",$L41)),ISNUMBER(SEARCH("育休",$L41))),$R41=""),1,0)+IF(AND(OR(ISNUMBER(SEARCH("育児休業",$L41)),ISNUMBER(SEARCH("育休",$L41))),$S41=""),1,0)+IF(AND(OR(ISNUMBER(SEARCH("育児休業",$L41)),ISNUMBER(SEARCH("育休",$L41))),$Z41=""),1,0)+IF(AND(OR(ISNUMBER(SEARCH("育児休業",$L41)),ISNUMBER(SEARCH("育休",$L41))),$AK41=""),1,0)+IF(AND(OR(ISNUMBER(SEARCH("育児休業",$L41)),ISNUMBER(SEARCH("育休",$L41))),$AL41=""),1,0)+IF(AND(OR(ISNUMBER(SEARCH("育児休業",$L41)),ISNUMBER(SEARCH("育休",$L41))),$AO41=""),1,0)+IF(AND($AH41="ある",$AI41=""),1,0))</f>
        <v/>
      </c>
    </row>
    <row r="42">
      <c r="A42" s="18" t="n"/>
      <c r="B42" s="18" t="n"/>
      <c r="C42" s="20" t="n"/>
      <c r="D42" s="46" t="n"/>
      <c r="E42" s="46" t="n"/>
      <c r="F42" s="46" t="n"/>
      <c r="G42" s="46" t="n"/>
      <c r="H42" s="18" t="n"/>
      <c r="I42" s="18" t="n"/>
      <c r="J42" s="18" t="n"/>
      <c r="K42" s="46" t="n"/>
      <c r="L42" s="18" t="n"/>
      <c r="M42" s="20" t="n"/>
      <c r="N42" s="20" t="n"/>
      <c r="O42" s="18" t="n"/>
      <c r="P42" s="20" t="n"/>
      <c r="Q42" s="20" t="n"/>
      <c r="R42" s="20" t="n"/>
      <c r="S42" s="20" t="n"/>
      <c r="T42" s="18" t="n"/>
      <c r="U42" s="47" t="n"/>
      <c r="V42" s="18" t="n"/>
      <c r="W42" s="20" t="n"/>
      <c r="X42" s="18" t="n"/>
      <c r="Y42" s="48" t="n"/>
      <c r="Z42" s="18" t="n"/>
      <c r="AA42" s="18" t="n"/>
      <c r="AB42" s="18" t="n"/>
      <c r="AC42" s="18" t="n"/>
      <c r="AD42" s="48" t="n"/>
      <c r="AE42" s="18" t="n"/>
      <c r="AF42" s="18" t="n"/>
      <c r="AG42" s="46" t="n"/>
      <c r="AH42" s="18" t="n"/>
      <c r="AI42" s="18" t="n"/>
      <c r="AJ42" s="18" t="n"/>
      <c r="AK42" s="18" t="n"/>
      <c r="AL42" s="18" t="n"/>
      <c r="AM42" s="18" t="n"/>
      <c r="AN42" s="46" t="n"/>
      <c r="AO42" s="18" t="n"/>
      <c r="AP42" s="18" t="n"/>
      <c r="AQ42" s="12">
        <f>IF($A42="","",IF(AR42&gt;0,"未入力","CSV可"))</f>
        <v/>
      </c>
      <c r="AR42">
        <f>IF($A42="","",IF($A42="",1,0)+IF($B42="",1,0)+IF($C42="",1,0)+IF($D42="",1,0)+IF($E42="",1,0)+IF($F42="",1,0)+IF($G42="",1,0)+IF($H42="",1,0)+IF($I42="",1,0)+IF($L42="",1,0)+IF(AND(OR(ISNUMBER(SEARCH("産前産後",$L42)),ISNUMBER(SEARCH("産休",$L42))),$M42=""),1,0)+IF(AND(OR(ISNUMBER(SEARCH("産前産後",$L42)),ISNUMBER(SEARCH("産休",$L42))),$P42=""),1,0)+IF(AND(OR(ISNUMBER(SEARCH("産前産後",$L42)),ISNUMBER(SEARCH("産休",$L42))),$Q42=""),1,0)+IF(AND(OR(ISNUMBER(SEARCH("産前産後",$L42)),ISNUMBER(SEARCH("産休",$L42))),$O42=""),1,0)+IF(AND(OR(ISNUMBER(SEARCH("産前産後",$L42)),ISNUMBER(SEARCH("産休",$L42))),$AB42=""),1,0)+IF(AND(OR(ISNUMBER(SEARCH("産前産後",$L42)),ISNUMBER(SEARCH("産休",$L42))),$AC42=""),1,0)+IF(AND(OR(ISNUMBER(SEARCH("産前産後",$L42)),ISNUMBER(SEARCH("産休",$L42))),$AF42=""),1,0)+IF(AND(OR(ISNUMBER(SEARCH("産前産後",$L42)),ISNUMBER(SEARCH("産休",$L42))),$AG42=""),1,0)+IF(AND(OR(ISNUMBER(SEARCH("産前産後",$L42)),ISNUMBER(SEARCH("産休",$L42))),$AJ42=""),1,0)+IF(AND(OR(ISNUMBER(SEARCH("育児休業",$L42)),ISNUMBER(SEARCH("育休",$L42))),$R42=""),1,0)+IF(AND(OR(ISNUMBER(SEARCH("育児休業",$L42)),ISNUMBER(SEARCH("育休",$L42))),$S42=""),1,0)+IF(AND(OR(ISNUMBER(SEARCH("育児休業",$L42)),ISNUMBER(SEARCH("育休",$L42))),$Z42=""),1,0)+IF(AND(OR(ISNUMBER(SEARCH("育児休業",$L42)),ISNUMBER(SEARCH("育休",$L42))),$AK42=""),1,0)+IF(AND(OR(ISNUMBER(SEARCH("育児休業",$L42)),ISNUMBER(SEARCH("育休",$L42))),$AL42=""),1,0)+IF(AND(OR(ISNUMBER(SEARCH("育児休業",$L42)),ISNUMBER(SEARCH("育休",$L42))),$AO42=""),1,0)+IF(AND($AH42="ある",$AI42=""),1,0))</f>
        <v/>
      </c>
    </row>
    <row r="43">
      <c r="A43" s="18" t="n"/>
      <c r="B43" s="18" t="n"/>
      <c r="C43" s="20" t="n"/>
      <c r="D43" s="46" t="n"/>
      <c r="E43" s="46" t="n"/>
      <c r="F43" s="46" t="n"/>
      <c r="G43" s="46" t="n"/>
      <c r="H43" s="18" t="n"/>
      <c r="I43" s="18" t="n"/>
      <c r="J43" s="18" t="n"/>
      <c r="K43" s="46" t="n"/>
      <c r="L43" s="18" t="n"/>
      <c r="M43" s="20" t="n"/>
      <c r="N43" s="20" t="n"/>
      <c r="O43" s="18" t="n"/>
      <c r="P43" s="20" t="n"/>
      <c r="Q43" s="20" t="n"/>
      <c r="R43" s="20" t="n"/>
      <c r="S43" s="20" t="n"/>
      <c r="T43" s="18" t="n"/>
      <c r="U43" s="47" t="n"/>
      <c r="V43" s="18" t="n"/>
      <c r="W43" s="20" t="n"/>
      <c r="X43" s="18" t="n"/>
      <c r="Y43" s="48" t="n"/>
      <c r="Z43" s="18" t="n"/>
      <c r="AA43" s="18" t="n"/>
      <c r="AB43" s="18" t="n"/>
      <c r="AC43" s="18" t="n"/>
      <c r="AD43" s="48" t="n"/>
      <c r="AE43" s="18" t="n"/>
      <c r="AF43" s="18" t="n"/>
      <c r="AG43" s="46" t="n"/>
      <c r="AH43" s="18" t="n"/>
      <c r="AI43" s="18" t="n"/>
      <c r="AJ43" s="18" t="n"/>
      <c r="AK43" s="18" t="n"/>
      <c r="AL43" s="18" t="n"/>
      <c r="AM43" s="18" t="n"/>
      <c r="AN43" s="46" t="n"/>
      <c r="AO43" s="18" t="n"/>
      <c r="AP43" s="18" t="n"/>
      <c r="AQ43" s="12">
        <f>IF($A43="","",IF(AR43&gt;0,"未入力","CSV可"))</f>
        <v/>
      </c>
      <c r="AR43">
        <f>IF($A43="","",IF($A43="",1,0)+IF($B43="",1,0)+IF($C43="",1,0)+IF($D43="",1,0)+IF($E43="",1,0)+IF($F43="",1,0)+IF($G43="",1,0)+IF($H43="",1,0)+IF($I43="",1,0)+IF($L43="",1,0)+IF(AND(OR(ISNUMBER(SEARCH("産前産後",$L43)),ISNUMBER(SEARCH("産休",$L43))),$M43=""),1,0)+IF(AND(OR(ISNUMBER(SEARCH("産前産後",$L43)),ISNUMBER(SEARCH("産休",$L43))),$P43=""),1,0)+IF(AND(OR(ISNUMBER(SEARCH("産前産後",$L43)),ISNUMBER(SEARCH("産休",$L43))),$Q43=""),1,0)+IF(AND(OR(ISNUMBER(SEARCH("産前産後",$L43)),ISNUMBER(SEARCH("産休",$L43))),$O43=""),1,0)+IF(AND(OR(ISNUMBER(SEARCH("産前産後",$L43)),ISNUMBER(SEARCH("産休",$L43))),$AB43=""),1,0)+IF(AND(OR(ISNUMBER(SEARCH("産前産後",$L43)),ISNUMBER(SEARCH("産休",$L43))),$AC43=""),1,0)+IF(AND(OR(ISNUMBER(SEARCH("産前産後",$L43)),ISNUMBER(SEARCH("産休",$L43))),$AF43=""),1,0)+IF(AND(OR(ISNUMBER(SEARCH("産前産後",$L43)),ISNUMBER(SEARCH("産休",$L43))),$AG43=""),1,0)+IF(AND(OR(ISNUMBER(SEARCH("産前産後",$L43)),ISNUMBER(SEARCH("産休",$L43))),$AJ43=""),1,0)+IF(AND(OR(ISNUMBER(SEARCH("育児休業",$L43)),ISNUMBER(SEARCH("育休",$L43))),$R43=""),1,0)+IF(AND(OR(ISNUMBER(SEARCH("育児休業",$L43)),ISNUMBER(SEARCH("育休",$L43))),$S43=""),1,0)+IF(AND(OR(ISNUMBER(SEARCH("育児休業",$L43)),ISNUMBER(SEARCH("育休",$L43))),$Z43=""),1,0)+IF(AND(OR(ISNUMBER(SEARCH("育児休業",$L43)),ISNUMBER(SEARCH("育休",$L43))),$AK43=""),1,0)+IF(AND(OR(ISNUMBER(SEARCH("育児休業",$L43)),ISNUMBER(SEARCH("育休",$L43))),$AL43=""),1,0)+IF(AND(OR(ISNUMBER(SEARCH("育児休業",$L43)),ISNUMBER(SEARCH("育休",$L43))),$AO43=""),1,0)+IF(AND($AH43="ある",$AI43=""),1,0))</f>
        <v/>
      </c>
    </row>
    <row r="44">
      <c r="A44" s="18" t="n"/>
      <c r="B44" s="18" t="n"/>
      <c r="C44" s="20" t="n"/>
      <c r="D44" s="46" t="n"/>
      <c r="E44" s="46" t="n"/>
      <c r="F44" s="46" t="n"/>
      <c r="G44" s="46" t="n"/>
      <c r="H44" s="18" t="n"/>
      <c r="I44" s="18" t="n"/>
      <c r="J44" s="18" t="n"/>
      <c r="K44" s="46" t="n"/>
      <c r="L44" s="18" t="n"/>
      <c r="M44" s="20" t="n"/>
      <c r="N44" s="20" t="n"/>
      <c r="O44" s="18" t="n"/>
      <c r="P44" s="20" t="n"/>
      <c r="Q44" s="20" t="n"/>
      <c r="R44" s="20" t="n"/>
      <c r="S44" s="20" t="n"/>
      <c r="T44" s="18" t="n"/>
      <c r="U44" s="47" t="n"/>
      <c r="V44" s="18" t="n"/>
      <c r="W44" s="20" t="n"/>
      <c r="X44" s="18" t="n"/>
      <c r="Y44" s="48" t="n"/>
      <c r="Z44" s="18" t="n"/>
      <c r="AA44" s="18" t="n"/>
      <c r="AB44" s="18" t="n"/>
      <c r="AC44" s="18" t="n"/>
      <c r="AD44" s="48" t="n"/>
      <c r="AE44" s="18" t="n"/>
      <c r="AF44" s="18" t="n"/>
      <c r="AG44" s="46" t="n"/>
      <c r="AH44" s="18" t="n"/>
      <c r="AI44" s="18" t="n"/>
      <c r="AJ44" s="18" t="n"/>
      <c r="AK44" s="18" t="n"/>
      <c r="AL44" s="18" t="n"/>
      <c r="AM44" s="18" t="n"/>
      <c r="AN44" s="46" t="n"/>
      <c r="AO44" s="18" t="n"/>
      <c r="AP44" s="18" t="n"/>
      <c r="AQ44" s="12">
        <f>IF($A44="","",IF(AR44&gt;0,"未入力","CSV可"))</f>
        <v/>
      </c>
      <c r="AR44">
        <f>IF($A44="","",IF($A44="",1,0)+IF($B44="",1,0)+IF($C44="",1,0)+IF($D44="",1,0)+IF($E44="",1,0)+IF($F44="",1,0)+IF($G44="",1,0)+IF($H44="",1,0)+IF($I44="",1,0)+IF($L44="",1,0)+IF(AND(OR(ISNUMBER(SEARCH("産前産後",$L44)),ISNUMBER(SEARCH("産休",$L44))),$M44=""),1,0)+IF(AND(OR(ISNUMBER(SEARCH("産前産後",$L44)),ISNUMBER(SEARCH("産休",$L44))),$P44=""),1,0)+IF(AND(OR(ISNUMBER(SEARCH("産前産後",$L44)),ISNUMBER(SEARCH("産休",$L44))),$Q44=""),1,0)+IF(AND(OR(ISNUMBER(SEARCH("産前産後",$L44)),ISNUMBER(SEARCH("産休",$L44))),$O44=""),1,0)+IF(AND(OR(ISNUMBER(SEARCH("産前産後",$L44)),ISNUMBER(SEARCH("産休",$L44))),$AB44=""),1,0)+IF(AND(OR(ISNUMBER(SEARCH("産前産後",$L44)),ISNUMBER(SEARCH("産休",$L44))),$AC44=""),1,0)+IF(AND(OR(ISNUMBER(SEARCH("産前産後",$L44)),ISNUMBER(SEARCH("産休",$L44))),$AF44=""),1,0)+IF(AND(OR(ISNUMBER(SEARCH("産前産後",$L44)),ISNUMBER(SEARCH("産休",$L44))),$AG44=""),1,0)+IF(AND(OR(ISNUMBER(SEARCH("産前産後",$L44)),ISNUMBER(SEARCH("産休",$L44))),$AJ44=""),1,0)+IF(AND(OR(ISNUMBER(SEARCH("育児休業",$L44)),ISNUMBER(SEARCH("育休",$L44))),$R44=""),1,0)+IF(AND(OR(ISNUMBER(SEARCH("育児休業",$L44)),ISNUMBER(SEARCH("育休",$L44))),$S44=""),1,0)+IF(AND(OR(ISNUMBER(SEARCH("育児休業",$L44)),ISNUMBER(SEARCH("育休",$L44))),$Z44=""),1,0)+IF(AND(OR(ISNUMBER(SEARCH("育児休業",$L44)),ISNUMBER(SEARCH("育休",$L44))),$AK44=""),1,0)+IF(AND(OR(ISNUMBER(SEARCH("育児休業",$L44)),ISNUMBER(SEARCH("育休",$L44))),$AL44=""),1,0)+IF(AND(OR(ISNUMBER(SEARCH("育児休業",$L44)),ISNUMBER(SEARCH("育休",$L44))),$AO44=""),1,0)+IF(AND($AH44="ある",$AI44=""),1,0))</f>
        <v/>
      </c>
    </row>
    <row r="45">
      <c r="A45" s="18" t="n"/>
      <c r="B45" s="18" t="n"/>
      <c r="C45" s="20" t="n"/>
      <c r="D45" s="46" t="n"/>
      <c r="E45" s="46" t="n"/>
      <c r="F45" s="46" t="n"/>
      <c r="G45" s="46" t="n"/>
      <c r="H45" s="18" t="n"/>
      <c r="I45" s="18" t="n"/>
      <c r="J45" s="18" t="n"/>
      <c r="K45" s="46" t="n"/>
      <c r="L45" s="18" t="n"/>
      <c r="M45" s="20" t="n"/>
      <c r="N45" s="20" t="n"/>
      <c r="O45" s="18" t="n"/>
      <c r="P45" s="20" t="n"/>
      <c r="Q45" s="20" t="n"/>
      <c r="R45" s="20" t="n"/>
      <c r="S45" s="20" t="n"/>
      <c r="T45" s="18" t="n"/>
      <c r="U45" s="47" t="n"/>
      <c r="V45" s="18" t="n"/>
      <c r="W45" s="20" t="n"/>
      <c r="X45" s="18" t="n"/>
      <c r="Y45" s="48" t="n"/>
      <c r="Z45" s="18" t="n"/>
      <c r="AA45" s="18" t="n"/>
      <c r="AB45" s="18" t="n"/>
      <c r="AC45" s="18" t="n"/>
      <c r="AD45" s="48" t="n"/>
      <c r="AE45" s="18" t="n"/>
      <c r="AF45" s="18" t="n"/>
      <c r="AG45" s="46" t="n"/>
      <c r="AH45" s="18" t="n"/>
      <c r="AI45" s="18" t="n"/>
      <c r="AJ45" s="18" t="n"/>
      <c r="AK45" s="18" t="n"/>
      <c r="AL45" s="18" t="n"/>
      <c r="AM45" s="18" t="n"/>
      <c r="AN45" s="46" t="n"/>
      <c r="AO45" s="18" t="n"/>
      <c r="AP45" s="18" t="n"/>
      <c r="AQ45" s="12">
        <f>IF($A45="","",IF(AR45&gt;0,"未入力","CSV可"))</f>
        <v/>
      </c>
      <c r="AR45">
        <f>IF($A45="","",IF($A45="",1,0)+IF($B45="",1,0)+IF($C45="",1,0)+IF($D45="",1,0)+IF($E45="",1,0)+IF($F45="",1,0)+IF($G45="",1,0)+IF($H45="",1,0)+IF($I45="",1,0)+IF($L45="",1,0)+IF(AND(OR(ISNUMBER(SEARCH("産前産後",$L45)),ISNUMBER(SEARCH("産休",$L45))),$M45=""),1,0)+IF(AND(OR(ISNUMBER(SEARCH("産前産後",$L45)),ISNUMBER(SEARCH("産休",$L45))),$P45=""),1,0)+IF(AND(OR(ISNUMBER(SEARCH("産前産後",$L45)),ISNUMBER(SEARCH("産休",$L45))),$Q45=""),1,0)+IF(AND(OR(ISNUMBER(SEARCH("産前産後",$L45)),ISNUMBER(SEARCH("産休",$L45))),$O45=""),1,0)+IF(AND(OR(ISNUMBER(SEARCH("産前産後",$L45)),ISNUMBER(SEARCH("産休",$L45))),$AB45=""),1,0)+IF(AND(OR(ISNUMBER(SEARCH("産前産後",$L45)),ISNUMBER(SEARCH("産休",$L45))),$AC45=""),1,0)+IF(AND(OR(ISNUMBER(SEARCH("産前産後",$L45)),ISNUMBER(SEARCH("産休",$L45))),$AF45=""),1,0)+IF(AND(OR(ISNUMBER(SEARCH("産前産後",$L45)),ISNUMBER(SEARCH("産休",$L45))),$AG45=""),1,0)+IF(AND(OR(ISNUMBER(SEARCH("産前産後",$L45)),ISNUMBER(SEARCH("産休",$L45))),$AJ45=""),1,0)+IF(AND(OR(ISNUMBER(SEARCH("育児休業",$L45)),ISNUMBER(SEARCH("育休",$L45))),$R45=""),1,0)+IF(AND(OR(ISNUMBER(SEARCH("育児休業",$L45)),ISNUMBER(SEARCH("育休",$L45))),$S45=""),1,0)+IF(AND(OR(ISNUMBER(SEARCH("育児休業",$L45)),ISNUMBER(SEARCH("育休",$L45))),$Z45=""),1,0)+IF(AND(OR(ISNUMBER(SEARCH("育児休業",$L45)),ISNUMBER(SEARCH("育休",$L45))),$AK45=""),1,0)+IF(AND(OR(ISNUMBER(SEARCH("育児休業",$L45)),ISNUMBER(SEARCH("育休",$L45))),$AL45=""),1,0)+IF(AND(OR(ISNUMBER(SEARCH("育児休業",$L45)),ISNUMBER(SEARCH("育休",$L45))),$AO45=""),1,0)+IF(AND($AH45="ある",$AI45=""),1,0))</f>
        <v/>
      </c>
    </row>
    <row r="46">
      <c r="A46" s="18" t="n"/>
      <c r="B46" s="18" t="n"/>
      <c r="C46" s="20" t="n"/>
      <c r="D46" s="46" t="n"/>
      <c r="E46" s="46" t="n"/>
      <c r="F46" s="46" t="n"/>
      <c r="G46" s="46" t="n"/>
      <c r="H46" s="18" t="n"/>
      <c r="I46" s="18" t="n"/>
      <c r="J46" s="18" t="n"/>
      <c r="K46" s="46" t="n"/>
      <c r="L46" s="18" t="n"/>
      <c r="M46" s="20" t="n"/>
      <c r="N46" s="20" t="n"/>
      <c r="O46" s="18" t="n"/>
      <c r="P46" s="20" t="n"/>
      <c r="Q46" s="20" t="n"/>
      <c r="R46" s="20" t="n"/>
      <c r="S46" s="20" t="n"/>
      <c r="T46" s="18" t="n"/>
      <c r="U46" s="47" t="n"/>
      <c r="V46" s="18" t="n"/>
      <c r="W46" s="20" t="n"/>
      <c r="X46" s="18" t="n"/>
      <c r="Y46" s="48" t="n"/>
      <c r="Z46" s="18" t="n"/>
      <c r="AA46" s="18" t="n"/>
      <c r="AB46" s="18" t="n"/>
      <c r="AC46" s="18" t="n"/>
      <c r="AD46" s="48" t="n"/>
      <c r="AE46" s="18" t="n"/>
      <c r="AF46" s="18" t="n"/>
      <c r="AG46" s="46" t="n"/>
      <c r="AH46" s="18" t="n"/>
      <c r="AI46" s="18" t="n"/>
      <c r="AJ46" s="18" t="n"/>
      <c r="AK46" s="18" t="n"/>
      <c r="AL46" s="18" t="n"/>
      <c r="AM46" s="18" t="n"/>
      <c r="AN46" s="46" t="n"/>
      <c r="AO46" s="18" t="n"/>
      <c r="AP46" s="18" t="n"/>
      <c r="AQ46" s="12">
        <f>IF($A46="","",IF(AR46&gt;0,"未入力","CSV可"))</f>
        <v/>
      </c>
      <c r="AR46">
        <f>IF($A46="","",IF($A46="",1,0)+IF($B46="",1,0)+IF($C46="",1,0)+IF($D46="",1,0)+IF($E46="",1,0)+IF($F46="",1,0)+IF($G46="",1,0)+IF($H46="",1,0)+IF($I46="",1,0)+IF($L46="",1,0)+IF(AND(OR(ISNUMBER(SEARCH("産前産後",$L46)),ISNUMBER(SEARCH("産休",$L46))),$M46=""),1,0)+IF(AND(OR(ISNUMBER(SEARCH("産前産後",$L46)),ISNUMBER(SEARCH("産休",$L46))),$P46=""),1,0)+IF(AND(OR(ISNUMBER(SEARCH("産前産後",$L46)),ISNUMBER(SEARCH("産休",$L46))),$Q46=""),1,0)+IF(AND(OR(ISNUMBER(SEARCH("産前産後",$L46)),ISNUMBER(SEARCH("産休",$L46))),$O46=""),1,0)+IF(AND(OR(ISNUMBER(SEARCH("産前産後",$L46)),ISNUMBER(SEARCH("産休",$L46))),$AB46=""),1,0)+IF(AND(OR(ISNUMBER(SEARCH("産前産後",$L46)),ISNUMBER(SEARCH("産休",$L46))),$AC46=""),1,0)+IF(AND(OR(ISNUMBER(SEARCH("産前産後",$L46)),ISNUMBER(SEARCH("産休",$L46))),$AF46=""),1,0)+IF(AND(OR(ISNUMBER(SEARCH("産前産後",$L46)),ISNUMBER(SEARCH("産休",$L46))),$AG46=""),1,0)+IF(AND(OR(ISNUMBER(SEARCH("産前産後",$L46)),ISNUMBER(SEARCH("産休",$L46))),$AJ46=""),1,0)+IF(AND(OR(ISNUMBER(SEARCH("育児休業",$L46)),ISNUMBER(SEARCH("育休",$L46))),$R46=""),1,0)+IF(AND(OR(ISNUMBER(SEARCH("育児休業",$L46)),ISNUMBER(SEARCH("育休",$L46))),$S46=""),1,0)+IF(AND(OR(ISNUMBER(SEARCH("育児休業",$L46)),ISNUMBER(SEARCH("育休",$L46))),$Z46=""),1,0)+IF(AND(OR(ISNUMBER(SEARCH("育児休業",$L46)),ISNUMBER(SEARCH("育休",$L46))),$AK46=""),1,0)+IF(AND(OR(ISNUMBER(SEARCH("育児休業",$L46)),ISNUMBER(SEARCH("育休",$L46))),$AL46=""),1,0)+IF(AND(OR(ISNUMBER(SEARCH("育児休業",$L46)),ISNUMBER(SEARCH("育休",$L46))),$AO46=""),1,0)+IF(AND($AH46="ある",$AI46=""),1,0))</f>
        <v/>
      </c>
    </row>
    <row r="47">
      <c r="A47" s="18" t="n"/>
      <c r="B47" s="18" t="n"/>
      <c r="C47" s="20" t="n"/>
      <c r="D47" s="46" t="n"/>
      <c r="E47" s="46" t="n"/>
      <c r="F47" s="46" t="n"/>
      <c r="G47" s="46" t="n"/>
      <c r="H47" s="18" t="n"/>
      <c r="I47" s="18" t="n"/>
      <c r="J47" s="18" t="n"/>
      <c r="K47" s="46" t="n"/>
      <c r="L47" s="18" t="n"/>
      <c r="M47" s="20" t="n"/>
      <c r="N47" s="20" t="n"/>
      <c r="O47" s="18" t="n"/>
      <c r="P47" s="20" t="n"/>
      <c r="Q47" s="20" t="n"/>
      <c r="R47" s="20" t="n"/>
      <c r="S47" s="20" t="n"/>
      <c r="T47" s="18" t="n"/>
      <c r="U47" s="47" t="n"/>
      <c r="V47" s="18" t="n"/>
      <c r="W47" s="20" t="n"/>
      <c r="X47" s="18" t="n"/>
      <c r="Y47" s="48" t="n"/>
      <c r="Z47" s="18" t="n"/>
      <c r="AA47" s="18" t="n"/>
      <c r="AB47" s="18" t="n"/>
      <c r="AC47" s="18" t="n"/>
      <c r="AD47" s="48" t="n"/>
      <c r="AE47" s="18" t="n"/>
      <c r="AF47" s="18" t="n"/>
      <c r="AG47" s="46" t="n"/>
      <c r="AH47" s="18" t="n"/>
      <c r="AI47" s="18" t="n"/>
      <c r="AJ47" s="18" t="n"/>
      <c r="AK47" s="18" t="n"/>
      <c r="AL47" s="18" t="n"/>
      <c r="AM47" s="18" t="n"/>
      <c r="AN47" s="46" t="n"/>
      <c r="AO47" s="18" t="n"/>
      <c r="AP47" s="18" t="n"/>
      <c r="AQ47" s="12">
        <f>IF($A47="","",IF(AR47&gt;0,"未入力","CSV可"))</f>
        <v/>
      </c>
      <c r="AR47">
        <f>IF($A47="","",IF($A47="",1,0)+IF($B47="",1,0)+IF($C47="",1,0)+IF($D47="",1,0)+IF($E47="",1,0)+IF($F47="",1,0)+IF($G47="",1,0)+IF($H47="",1,0)+IF($I47="",1,0)+IF($L47="",1,0)+IF(AND(OR(ISNUMBER(SEARCH("産前産後",$L47)),ISNUMBER(SEARCH("産休",$L47))),$M47=""),1,0)+IF(AND(OR(ISNUMBER(SEARCH("産前産後",$L47)),ISNUMBER(SEARCH("産休",$L47))),$P47=""),1,0)+IF(AND(OR(ISNUMBER(SEARCH("産前産後",$L47)),ISNUMBER(SEARCH("産休",$L47))),$Q47=""),1,0)+IF(AND(OR(ISNUMBER(SEARCH("産前産後",$L47)),ISNUMBER(SEARCH("産休",$L47))),$O47=""),1,0)+IF(AND(OR(ISNUMBER(SEARCH("産前産後",$L47)),ISNUMBER(SEARCH("産休",$L47))),$AB47=""),1,0)+IF(AND(OR(ISNUMBER(SEARCH("産前産後",$L47)),ISNUMBER(SEARCH("産休",$L47))),$AC47=""),1,0)+IF(AND(OR(ISNUMBER(SEARCH("産前産後",$L47)),ISNUMBER(SEARCH("産休",$L47))),$AF47=""),1,0)+IF(AND(OR(ISNUMBER(SEARCH("産前産後",$L47)),ISNUMBER(SEARCH("産休",$L47))),$AG47=""),1,0)+IF(AND(OR(ISNUMBER(SEARCH("産前産後",$L47)),ISNUMBER(SEARCH("産休",$L47))),$AJ47=""),1,0)+IF(AND(OR(ISNUMBER(SEARCH("育児休業",$L47)),ISNUMBER(SEARCH("育休",$L47))),$R47=""),1,0)+IF(AND(OR(ISNUMBER(SEARCH("育児休業",$L47)),ISNUMBER(SEARCH("育休",$L47))),$S47=""),1,0)+IF(AND(OR(ISNUMBER(SEARCH("育児休業",$L47)),ISNUMBER(SEARCH("育休",$L47))),$Z47=""),1,0)+IF(AND(OR(ISNUMBER(SEARCH("育児休業",$L47)),ISNUMBER(SEARCH("育休",$L47))),$AK47=""),1,0)+IF(AND(OR(ISNUMBER(SEARCH("育児休業",$L47)),ISNUMBER(SEARCH("育休",$L47))),$AL47=""),1,0)+IF(AND(OR(ISNUMBER(SEARCH("育児休業",$L47)),ISNUMBER(SEARCH("育休",$L47))),$AO47=""),1,0)+IF(AND($AH47="ある",$AI47=""),1,0))</f>
        <v/>
      </c>
    </row>
    <row r="48">
      <c r="A48" s="18" t="n"/>
      <c r="B48" s="18" t="n"/>
      <c r="C48" s="20" t="n"/>
      <c r="D48" s="46" t="n"/>
      <c r="E48" s="46" t="n"/>
      <c r="F48" s="46" t="n"/>
      <c r="G48" s="46" t="n"/>
      <c r="H48" s="18" t="n"/>
      <c r="I48" s="18" t="n"/>
      <c r="J48" s="18" t="n"/>
      <c r="K48" s="46" t="n"/>
      <c r="L48" s="18" t="n"/>
      <c r="M48" s="20" t="n"/>
      <c r="N48" s="20" t="n"/>
      <c r="O48" s="18" t="n"/>
      <c r="P48" s="20" t="n"/>
      <c r="Q48" s="20" t="n"/>
      <c r="R48" s="20" t="n"/>
      <c r="S48" s="20" t="n"/>
      <c r="T48" s="18" t="n"/>
      <c r="U48" s="47" t="n"/>
      <c r="V48" s="18" t="n"/>
      <c r="W48" s="20" t="n"/>
      <c r="X48" s="18" t="n"/>
      <c r="Y48" s="48" t="n"/>
      <c r="Z48" s="18" t="n"/>
      <c r="AA48" s="18" t="n"/>
      <c r="AB48" s="18" t="n"/>
      <c r="AC48" s="18" t="n"/>
      <c r="AD48" s="48" t="n"/>
      <c r="AE48" s="18" t="n"/>
      <c r="AF48" s="18" t="n"/>
      <c r="AG48" s="46" t="n"/>
      <c r="AH48" s="18" t="n"/>
      <c r="AI48" s="18" t="n"/>
      <c r="AJ48" s="18" t="n"/>
      <c r="AK48" s="18" t="n"/>
      <c r="AL48" s="18" t="n"/>
      <c r="AM48" s="18" t="n"/>
      <c r="AN48" s="46" t="n"/>
      <c r="AO48" s="18" t="n"/>
      <c r="AP48" s="18" t="n"/>
      <c r="AQ48" s="12">
        <f>IF($A48="","",IF(AR48&gt;0,"未入力","CSV可"))</f>
        <v/>
      </c>
      <c r="AR48">
        <f>IF($A48="","",IF($A48="",1,0)+IF($B48="",1,0)+IF($C48="",1,0)+IF($D48="",1,0)+IF($E48="",1,0)+IF($F48="",1,0)+IF($G48="",1,0)+IF($H48="",1,0)+IF($I48="",1,0)+IF($L48="",1,0)+IF(AND(OR(ISNUMBER(SEARCH("産前産後",$L48)),ISNUMBER(SEARCH("産休",$L48))),$M48=""),1,0)+IF(AND(OR(ISNUMBER(SEARCH("産前産後",$L48)),ISNUMBER(SEARCH("産休",$L48))),$P48=""),1,0)+IF(AND(OR(ISNUMBER(SEARCH("産前産後",$L48)),ISNUMBER(SEARCH("産休",$L48))),$Q48=""),1,0)+IF(AND(OR(ISNUMBER(SEARCH("産前産後",$L48)),ISNUMBER(SEARCH("産休",$L48))),$O48=""),1,0)+IF(AND(OR(ISNUMBER(SEARCH("産前産後",$L48)),ISNUMBER(SEARCH("産休",$L48))),$AB48=""),1,0)+IF(AND(OR(ISNUMBER(SEARCH("産前産後",$L48)),ISNUMBER(SEARCH("産休",$L48))),$AC48=""),1,0)+IF(AND(OR(ISNUMBER(SEARCH("産前産後",$L48)),ISNUMBER(SEARCH("産休",$L48))),$AF48=""),1,0)+IF(AND(OR(ISNUMBER(SEARCH("産前産後",$L48)),ISNUMBER(SEARCH("産休",$L48))),$AG48=""),1,0)+IF(AND(OR(ISNUMBER(SEARCH("産前産後",$L48)),ISNUMBER(SEARCH("産休",$L48))),$AJ48=""),1,0)+IF(AND(OR(ISNUMBER(SEARCH("育児休業",$L48)),ISNUMBER(SEARCH("育休",$L48))),$R48=""),1,0)+IF(AND(OR(ISNUMBER(SEARCH("育児休業",$L48)),ISNUMBER(SEARCH("育休",$L48))),$S48=""),1,0)+IF(AND(OR(ISNUMBER(SEARCH("育児休業",$L48)),ISNUMBER(SEARCH("育休",$L48))),$Z48=""),1,0)+IF(AND(OR(ISNUMBER(SEARCH("育児休業",$L48)),ISNUMBER(SEARCH("育休",$L48))),$AK48=""),1,0)+IF(AND(OR(ISNUMBER(SEARCH("育児休業",$L48)),ISNUMBER(SEARCH("育休",$L48))),$AL48=""),1,0)+IF(AND(OR(ISNUMBER(SEARCH("育児休業",$L48)),ISNUMBER(SEARCH("育休",$L48))),$AO48=""),1,0)+IF(AND($AH48="ある",$AI48=""),1,0))</f>
        <v/>
      </c>
    </row>
    <row r="49">
      <c r="A49" s="18" t="n"/>
      <c r="B49" s="18" t="n"/>
      <c r="C49" s="20" t="n"/>
      <c r="D49" s="46" t="n"/>
      <c r="E49" s="46" t="n"/>
      <c r="F49" s="46" t="n"/>
      <c r="G49" s="46" t="n"/>
      <c r="H49" s="18" t="n"/>
      <c r="I49" s="18" t="n"/>
      <c r="J49" s="18" t="n"/>
      <c r="K49" s="46" t="n"/>
      <c r="L49" s="18" t="n"/>
      <c r="M49" s="20" t="n"/>
      <c r="N49" s="20" t="n"/>
      <c r="O49" s="18" t="n"/>
      <c r="P49" s="20" t="n"/>
      <c r="Q49" s="20" t="n"/>
      <c r="R49" s="20" t="n"/>
      <c r="S49" s="20" t="n"/>
      <c r="T49" s="18" t="n"/>
      <c r="U49" s="47" t="n"/>
      <c r="V49" s="18" t="n"/>
      <c r="W49" s="20" t="n"/>
      <c r="X49" s="18" t="n"/>
      <c r="Y49" s="48" t="n"/>
      <c r="Z49" s="18" t="n"/>
      <c r="AA49" s="18" t="n"/>
      <c r="AB49" s="18" t="n"/>
      <c r="AC49" s="18" t="n"/>
      <c r="AD49" s="48" t="n"/>
      <c r="AE49" s="18" t="n"/>
      <c r="AF49" s="18" t="n"/>
      <c r="AG49" s="46" t="n"/>
      <c r="AH49" s="18" t="n"/>
      <c r="AI49" s="18" t="n"/>
      <c r="AJ49" s="18" t="n"/>
      <c r="AK49" s="18" t="n"/>
      <c r="AL49" s="18" t="n"/>
      <c r="AM49" s="18" t="n"/>
      <c r="AN49" s="46" t="n"/>
      <c r="AO49" s="18" t="n"/>
      <c r="AP49" s="18" t="n"/>
      <c r="AQ49" s="12">
        <f>IF($A49="","",IF(AR49&gt;0,"未入力","CSV可"))</f>
        <v/>
      </c>
      <c r="AR49">
        <f>IF($A49="","",IF($A49="",1,0)+IF($B49="",1,0)+IF($C49="",1,0)+IF($D49="",1,0)+IF($E49="",1,0)+IF($F49="",1,0)+IF($G49="",1,0)+IF($H49="",1,0)+IF($I49="",1,0)+IF($L49="",1,0)+IF(AND(OR(ISNUMBER(SEARCH("産前産後",$L49)),ISNUMBER(SEARCH("産休",$L49))),$M49=""),1,0)+IF(AND(OR(ISNUMBER(SEARCH("産前産後",$L49)),ISNUMBER(SEARCH("産休",$L49))),$P49=""),1,0)+IF(AND(OR(ISNUMBER(SEARCH("産前産後",$L49)),ISNUMBER(SEARCH("産休",$L49))),$Q49=""),1,0)+IF(AND(OR(ISNUMBER(SEARCH("産前産後",$L49)),ISNUMBER(SEARCH("産休",$L49))),$O49=""),1,0)+IF(AND(OR(ISNUMBER(SEARCH("産前産後",$L49)),ISNUMBER(SEARCH("産休",$L49))),$AB49=""),1,0)+IF(AND(OR(ISNUMBER(SEARCH("産前産後",$L49)),ISNUMBER(SEARCH("産休",$L49))),$AC49=""),1,0)+IF(AND(OR(ISNUMBER(SEARCH("産前産後",$L49)),ISNUMBER(SEARCH("産休",$L49))),$AF49=""),1,0)+IF(AND(OR(ISNUMBER(SEARCH("産前産後",$L49)),ISNUMBER(SEARCH("産休",$L49))),$AG49=""),1,0)+IF(AND(OR(ISNUMBER(SEARCH("産前産後",$L49)),ISNUMBER(SEARCH("産休",$L49))),$AJ49=""),1,0)+IF(AND(OR(ISNUMBER(SEARCH("育児休業",$L49)),ISNUMBER(SEARCH("育休",$L49))),$R49=""),1,0)+IF(AND(OR(ISNUMBER(SEARCH("育児休業",$L49)),ISNUMBER(SEARCH("育休",$L49))),$S49=""),1,0)+IF(AND(OR(ISNUMBER(SEARCH("育児休業",$L49)),ISNUMBER(SEARCH("育休",$L49))),$Z49=""),1,0)+IF(AND(OR(ISNUMBER(SEARCH("育児休業",$L49)),ISNUMBER(SEARCH("育休",$L49))),$AK49=""),1,0)+IF(AND(OR(ISNUMBER(SEARCH("育児休業",$L49)),ISNUMBER(SEARCH("育休",$L49))),$AL49=""),1,0)+IF(AND(OR(ISNUMBER(SEARCH("育児休業",$L49)),ISNUMBER(SEARCH("育休",$L49))),$AO49=""),1,0)+IF(AND($AH49="ある",$AI49=""),1,0))</f>
        <v/>
      </c>
    </row>
    <row r="50">
      <c r="A50" s="18" t="n"/>
      <c r="B50" s="18" t="n"/>
      <c r="C50" s="20" t="n"/>
      <c r="D50" s="46" t="n"/>
      <c r="E50" s="46" t="n"/>
      <c r="F50" s="46" t="n"/>
      <c r="G50" s="46" t="n"/>
      <c r="H50" s="18" t="n"/>
      <c r="I50" s="18" t="n"/>
      <c r="J50" s="18" t="n"/>
      <c r="K50" s="46" t="n"/>
      <c r="L50" s="18" t="n"/>
      <c r="M50" s="20" t="n"/>
      <c r="N50" s="20" t="n"/>
      <c r="O50" s="18" t="n"/>
      <c r="P50" s="20" t="n"/>
      <c r="Q50" s="20" t="n"/>
      <c r="R50" s="20" t="n"/>
      <c r="S50" s="20" t="n"/>
      <c r="T50" s="18" t="n"/>
      <c r="U50" s="47" t="n"/>
      <c r="V50" s="18" t="n"/>
      <c r="W50" s="20" t="n"/>
      <c r="X50" s="18" t="n"/>
      <c r="Y50" s="48" t="n"/>
      <c r="Z50" s="18" t="n"/>
      <c r="AA50" s="18" t="n"/>
      <c r="AB50" s="18" t="n"/>
      <c r="AC50" s="18" t="n"/>
      <c r="AD50" s="48" t="n"/>
      <c r="AE50" s="18" t="n"/>
      <c r="AF50" s="18" t="n"/>
      <c r="AG50" s="46" t="n"/>
      <c r="AH50" s="18" t="n"/>
      <c r="AI50" s="18" t="n"/>
      <c r="AJ50" s="18" t="n"/>
      <c r="AK50" s="18" t="n"/>
      <c r="AL50" s="18" t="n"/>
      <c r="AM50" s="18" t="n"/>
      <c r="AN50" s="46" t="n"/>
      <c r="AO50" s="18" t="n"/>
      <c r="AP50" s="18" t="n"/>
      <c r="AQ50" s="12">
        <f>IF($A50="","",IF(AR50&gt;0,"未入力","CSV可"))</f>
        <v/>
      </c>
      <c r="AR50">
        <f>IF($A50="","",IF($A50="",1,0)+IF($B50="",1,0)+IF($C50="",1,0)+IF($D50="",1,0)+IF($E50="",1,0)+IF($F50="",1,0)+IF($G50="",1,0)+IF($H50="",1,0)+IF($I50="",1,0)+IF($L50="",1,0)+IF(AND(OR(ISNUMBER(SEARCH("産前産後",$L50)),ISNUMBER(SEARCH("産休",$L50))),$M50=""),1,0)+IF(AND(OR(ISNUMBER(SEARCH("産前産後",$L50)),ISNUMBER(SEARCH("産休",$L50))),$P50=""),1,0)+IF(AND(OR(ISNUMBER(SEARCH("産前産後",$L50)),ISNUMBER(SEARCH("産休",$L50))),$Q50=""),1,0)+IF(AND(OR(ISNUMBER(SEARCH("産前産後",$L50)),ISNUMBER(SEARCH("産休",$L50))),$O50=""),1,0)+IF(AND(OR(ISNUMBER(SEARCH("産前産後",$L50)),ISNUMBER(SEARCH("産休",$L50))),$AB50=""),1,0)+IF(AND(OR(ISNUMBER(SEARCH("産前産後",$L50)),ISNUMBER(SEARCH("産休",$L50))),$AC50=""),1,0)+IF(AND(OR(ISNUMBER(SEARCH("産前産後",$L50)),ISNUMBER(SEARCH("産休",$L50))),$AF50=""),1,0)+IF(AND(OR(ISNUMBER(SEARCH("産前産後",$L50)),ISNUMBER(SEARCH("産休",$L50))),$AG50=""),1,0)+IF(AND(OR(ISNUMBER(SEARCH("産前産後",$L50)),ISNUMBER(SEARCH("産休",$L50))),$AJ50=""),1,0)+IF(AND(OR(ISNUMBER(SEARCH("育児休業",$L50)),ISNUMBER(SEARCH("育休",$L50))),$R50=""),1,0)+IF(AND(OR(ISNUMBER(SEARCH("育児休業",$L50)),ISNUMBER(SEARCH("育休",$L50))),$S50=""),1,0)+IF(AND(OR(ISNUMBER(SEARCH("育児休業",$L50)),ISNUMBER(SEARCH("育休",$L50))),$Z50=""),1,0)+IF(AND(OR(ISNUMBER(SEARCH("育児休業",$L50)),ISNUMBER(SEARCH("育休",$L50))),$AK50=""),1,0)+IF(AND(OR(ISNUMBER(SEARCH("育児休業",$L50)),ISNUMBER(SEARCH("育休",$L50))),$AL50=""),1,0)+IF(AND(OR(ISNUMBER(SEARCH("育児休業",$L50)),ISNUMBER(SEARCH("育休",$L50))),$AO50=""),1,0)+IF(AND($AH50="ある",$AI50=""),1,0))</f>
        <v/>
      </c>
    </row>
    <row r="51">
      <c r="A51" s="18" t="n"/>
      <c r="B51" s="18" t="n"/>
      <c r="C51" s="20" t="n"/>
      <c r="D51" s="46" t="n"/>
      <c r="E51" s="46" t="n"/>
      <c r="F51" s="46" t="n"/>
      <c r="G51" s="46" t="n"/>
      <c r="H51" s="18" t="n"/>
      <c r="I51" s="18" t="n"/>
      <c r="J51" s="18" t="n"/>
      <c r="K51" s="46" t="n"/>
      <c r="L51" s="18" t="n"/>
      <c r="M51" s="20" t="n"/>
      <c r="N51" s="20" t="n"/>
      <c r="O51" s="18" t="n"/>
      <c r="P51" s="20" t="n"/>
      <c r="Q51" s="20" t="n"/>
      <c r="R51" s="20" t="n"/>
      <c r="S51" s="20" t="n"/>
      <c r="T51" s="18" t="n"/>
      <c r="U51" s="47" t="n"/>
      <c r="V51" s="18" t="n"/>
      <c r="W51" s="20" t="n"/>
      <c r="X51" s="18" t="n"/>
      <c r="Y51" s="48" t="n"/>
      <c r="Z51" s="18" t="n"/>
      <c r="AA51" s="18" t="n"/>
      <c r="AB51" s="18" t="n"/>
      <c r="AC51" s="18" t="n"/>
      <c r="AD51" s="48" t="n"/>
      <c r="AE51" s="18" t="n"/>
      <c r="AF51" s="18" t="n"/>
      <c r="AG51" s="46" t="n"/>
      <c r="AH51" s="18" t="n"/>
      <c r="AI51" s="18" t="n"/>
      <c r="AJ51" s="18" t="n"/>
      <c r="AK51" s="18" t="n"/>
      <c r="AL51" s="18" t="n"/>
      <c r="AM51" s="18" t="n"/>
      <c r="AN51" s="46" t="n"/>
      <c r="AO51" s="18" t="n"/>
      <c r="AP51" s="18" t="n"/>
      <c r="AQ51" s="12">
        <f>IF($A51="","",IF(AR51&gt;0,"未入力","CSV可"))</f>
        <v/>
      </c>
      <c r="AR51">
        <f>IF($A51="","",IF($A51="",1,0)+IF($B51="",1,0)+IF($C51="",1,0)+IF($D51="",1,0)+IF($E51="",1,0)+IF($F51="",1,0)+IF($G51="",1,0)+IF($H51="",1,0)+IF($I51="",1,0)+IF($L51="",1,0)+IF(AND(OR(ISNUMBER(SEARCH("産前産後",$L51)),ISNUMBER(SEARCH("産休",$L51))),$M51=""),1,0)+IF(AND(OR(ISNUMBER(SEARCH("産前産後",$L51)),ISNUMBER(SEARCH("産休",$L51))),$P51=""),1,0)+IF(AND(OR(ISNUMBER(SEARCH("産前産後",$L51)),ISNUMBER(SEARCH("産休",$L51))),$Q51=""),1,0)+IF(AND(OR(ISNUMBER(SEARCH("産前産後",$L51)),ISNUMBER(SEARCH("産休",$L51))),$O51=""),1,0)+IF(AND(OR(ISNUMBER(SEARCH("産前産後",$L51)),ISNUMBER(SEARCH("産休",$L51))),$AB51=""),1,0)+IF(AND(OR(ISNUMBER(SEARCH("産前産後",$L51)),ISNUMBER(SEARCH("産休",$L51))),$AC51=""),1,0)+IF(AND(OR(ISNUMBER(SEARCH("産前産後",$L51)),ISNUMBER(SEARCH("産休",$L51))),$AF51=""),1,0)+IF(AND(OR(ISNUMBER(SEARCH("産前産後",$L51)),ISNUMBER(SEARCH("産休",$L51))),$AG51=""),1,0)+IF(AND(OR(ISNUMBER(SEARCH("産前産後",$L51)),ISNUMBER(SEARCH("産休",$L51))),$AJ51=""),1,0)+IF(AND(OR(ISNUMBER(SEARCH("育児休業",$L51)),ISNUMBER(SEARCH("育休",$L51))),$R51=""),1,0)+IF(AND(OR(ISNUMBER(SEARCH("育児休業",$L51)),ISNUMBER(SEARCH("育休",$L51))),$S51=""),1,0)+IF(AND(OR(ISNUMBER(SEARCH("育児休業",$L51)),ISNUMBER(SEARCH("育休",$L51))),$Z51=""),1,0)+IF(AND(OR(ISNUMBER(SEARCH("育児休業",$L51)),ISNUMBER(SEARCH("育休",$L51))),$AK51=""),1,0)+IF(AND(OR(ISNUMBER(SEARCH("育児休業",$L51)),ISNUMBER(SEARCH("育休",$L51))),$AL51=""),1,0)+IF(AND(OR(ISNUMBER(SEARCH("育児休業",$L51)),ISNUMBER(SEARCH("育休",$L51))),$AO51=""),1,0)+IF(AND($AH51="ある",$AI51=""),1,0))</f>
        <v/>
      </c>
    </row>
    <row r="52">
      <c r="A52" s="18" t="n"/>
      <c r="B52" s="18" t="n"/>
      <c r="C52" s="20" t="n"/>
      <c r="D52" s="46" t="n"/>
      <c r="E52" s="46" t="n"/>
      <c r="F52" s="46" t="n"/>
      <c r="G52" s="46" t="n"/>
      <c r="H52" s="18" t="n"/>
      <c r="I52" s="18" t="n"/>
      <c r="J52" s="18" t="n"/>
      <c r="K52" s="46" t="n"/>
      <c r="L52" s="18" t="n"/>
      <c r="M52" s="20" t="n"/>
      <c r="N52" s="20" t="n"/>
      <c r="O52" s="18" t="n"/>
      <c r="P52" s="20" t="n"/>
      <c r="Q52" s="20" t="n"/>
      <c r="R52" s="20" t="n"/>
      <c r="S52" s="20" t="n"/>
      <c r="T52" s="18" t="n"/>
      <c r="U52" s="47" t="n"/>
      <c r="V52" s="18" t="n"/>
      <c r="W52" s="20" t="n"/>
      <c r="X52" s="18" t="n"/>
      <c r="Y52" s="48" t="n"/>
      <c r="Z52" s="18" t="n"/>
      <c r="AA52" s="18" t="n"/>
      <c r="AB52" s="18" t="n"/>
      <c r="AC52" s="18" t="n"/>
      <c r="AD52" s="48" t="n"/>
      <c r="AE52" s="18" t="n"/>
      <c r="AF52" s="18" t="n"/>
      <c r="AG52" s="46" t="n"/>
      <c r="AH52" s="18" t="n"/>
      <c r="AI52" s="18" t="n"/>
      <c r="AJ52" s="18" t="n"/>
      <c r="AK52" s="18" t="n"/>
      <c r="AL52" s="18" t="n"/>
      <c r="AM52" s="18" t="n"/>
      <c r="AN52" s="46" t="n"/>
      <c r="AO52" s="18" t="n"/>
      <c r="AP52" s="18" t="n"/>
      <c r="AQ52" s="12">
        <f>IF($A52="","",IF(AR52&gt;0,"未入力","CSV可"))</f>
        <v/>
      </c>
      <c r="AR52">
        <f>IF($A52="","",IF($A52="",1,0)+IF($B52="",1,0)+IF($C52="",1,0)+IF($D52="",1,0)+IF($E52="",1,0)+IF($F52="",1,0)+IF($G52="",1,0)+IF($H52="",1,0)+IF($I52="",1,0)+IF($L52="",1,0)+IF(AND(OR(ISNUMBER(SEARCH("産前産後",$L52)),ISNUMBER(SEARCH("産休",$L52))),$M52=""),1,0)+IF(AND(OR(ISNUMBER(SEARCH("産前産後",$L52)),ISNUMBER(SEARCH("産休",$L52))),$P52=""),1,0)+IF(AND(OR(ISNUMBER(SEARCH("産前産後",$L52)),ISNUMBER(SEARCH("産休",$L52))),$Q52=""),1,0)+IF(AND(OR(ISNUMBER(SEARCH("産前産後",$L52)),ISNUMBER(SEARCH("産休",$L52))),$O52=""),1,0)+IF(AND(OR(ISNUMBER(SEARCH("産前産後",$L52)),ISNUMBER(SEARCH("産休",$L52))),$AB52=""),1,0)+IF(AND(OR(ISNUMBER(SEARCH("産前産後",$L52)),ISNUMBER(SEARCH("産休",$L52))),$AC52=""),1,0)+IF(AND(OR(ISNUMBER(SEARCH("産前産後",$L52)),ISNUMBER(SEARCH("産休",$L52))),$AF52=""),1,0)+IF(AND(OR(ISNUMBER(SEARCH("産前産後",$L52)),ISNUMBER(SEARCH("産休",$L52))),$AG52=""),1,0)+IF(AND(OR(ISNUMBER(SEARCH("産前産後",$L52)),ISNUMBER(SEARCH("産休",$L52))),$AJ52=""),1,0)+IF(AND(OR(ISNUMBER(SEARCH("育児休業",$L52)),ISNUMBER(SEARCH("育休",$L52))),$R52=""),1,0)+IF(AND(OR(ISNUMBER(SEARCH("育児休業",$L52)),ISNUMBER(SEARCH("育休",$L52))),$S52=""),1,0)+IF(AND(OR(ISNUMBER(SEARCH("育児休業",$L52)),ISNUMBER(SEARCH("育休",$L52))),$Z52=""),1,0)+IF(AND(OR(ISNUMBER(SEARCH("育児休業",$L52)),ISNUMBER(SEARCH("育休",$L52))),$AK52=""),1,0)+IF(AND(OR(ISNUMBER(SEARCH("育児休業",$L52)),ISNUMBER(SEARCH("育休",$L52))),$AL52=""),1,0)+IF(AND(OR(ISNUMBER(SEARCH("育児休業",$L52)),ISNUMBER(SEARCH("育休",$L52))),$AO52=""),1,0)+IF(AND($AH52="ある",$AI52=""),1,0))</f>
        <v/>
      </c>
    </row>
    <row r="53">
      <c r="A53" s="18" t="n"/>
      <c r="B53" s="18" t="n"/>
      <c r="C53" s="20" t="n"/>
      <c r="D53" s="46" t="n"/>
      <c r="E53" s="46" t="n"/>
      <c r="F53" s="46" t="n"/>
      <c r="G53" s="46" t="n"/>
      <c r="H53" s="18" t="n"/>
      <c r="I53" s="18" t="n"/>
      <c r="J53" s="18" t="n"/>
      <c r="K53" s="46" t="n"/>
      <c r="L53" s="18" t="n"/>
      <c r="M53" s="20" t="n"/>
      <c r="N53" s="20" t="n"/>
      <c r="O53" s="18" t="n"/>
      <c r="P53" s="20" t="n"/>
      <c r="Q53" s="20" t="n"/>
      <c r="R53" s="20" t="n"/>
      <c r="S53" s="20" t="n"/>
      <c r="T53" s="18" t="n"/>
      <c r="U53" s="47" t="n"/>
      <c r="V53" s="18" t="n"/>
      <c r="W53" s="20" t="n"/>
      <c r="X53" s="18" t="n"/>
      <c r="Y53" s="48" t="n"/>
      <c r="Z53" s="18" t="n"/>
      <c r="AA53" s="18" t="n"/>
      <c r="AB53" s="18" t="n"/>
      <c r="AC53" s="18" t="n"/>
      <c r="AD53" s="48" t="n"/>
      <c r="AE53" s="18" t="n"/>
      <c r="AF53" s="18" t="n"/>
      <c r="AG53" s="46" t="n"/>
      <c r="AH53" s="18" t="n"/>
      <c r="AI53" s="18" t="n"/>
      <c r="AJ53" s="18" t="n"/>
      <c r="AK53" s="18" t="n"/>
      <c r="AL53" s="18" t="n"/>
      <c r="AM53" s="18" t="n"/>
      <c r="AN53" s="46" t="n"/>
      <c r="AO53" s="18" t="n"/>
      <c r="AP53" s="18" t="n"/>
      <c r="AQ53" s="12">
        <f>IF($A53="","",IF(AR53&gt;0,"未入力","CSV可"))</f>
        <v/>
      </c>
      <c r="AR53">
        <f>IF($A53="","",IF($A53="",1,0)+IF($B53="",1,0)+IF($C53="",1,0)+IF($D53="",1,0)+IF($E53="",1,0)+IF($F53="",1,0)+IF($G53="",1,0)+IF($H53="",1,0)+IF($I53="",1,0)+IF($L53="",1,0)+IF(AND(OR(ISNUMBER(SEARCH("産前産後",$L53)),ISNUMBER(SEARCH("産休",$L53))),$M53=""),1,0)+IF(AND(OR(ISNUMBER(SEARCH("産前産後",$L53)),ISNUMBER(SEARCH("産休",$L53))),$P53=""),1,0)+IF(AND(OR(ISNUMBER(SEARCH("産前産後",$L53)),ISNUMBER(SEARCH("産休",$L53))),$Q53=""),1,0)+IF(AND(OR(ISNUMBER(SEARCH("産前産後",$L53)),ISNUMBER(SEARCH("産休",$L53))),$O53=""),1,0)+IF(AND(OR(ISNUMBER(SEARCH("産前産後",$L53)),ISNUMBER(SEARCH("産休",$L53))),$AB53=""),1,0)+IF(AND(OR(ISNUMBER(SEARCH("産前産後",$L53)),ISNUMBER(SEARCH("産休",$L53))),$AC53=""),1,0)+IF(AND(OR(ISNUMBER(SEARCH("産前産後",$L53)),ISNUMBER(SEARCH("産休",$L53))),$AF53=""),1,0)+IF(AND(OR(ISNUMBER(SEARCH("産前産後",$L53)),ISNUMBER(SEARCH("産休",$L53))),$AG53=""),1,0)+IF(AND(OR(ISNUMBER(SEARCH("産前産後",$L53)),ISNUMBER(SEARCH("産休",$L53))),$AJ53=""),1,0)+IF(AND(OR(ISNUMBER(SEARCH("育児休業",$L53)),ISNUMBER(SEARCH("育休",$L53))),$R53=""),1,0)+IF(AND(OR(ISNUMBER(SEARCH("育児休業",$L53)),ISNUMBER(SEARCH("育休",$L53))),$S53=""),1,0)+IF(AND(OR(ISNUMBER(SEARCH("育児休業",$L53)),ISNUMBER(SEARCH("育休",$L53))),$Z53=""),1,0)+IF(AND(OR(ISNUMBER(SEARCH("育児休業",$L53)),ISNUMBER(SEARCH("育休",$L53))),$AK53=""),1,0)+IF(AND(OR(ISNUMBER(SEARCH("育児休業",$L53)),ISNUMBER(SEARCH("育休",$L53))),$AL53=""),1,0)+IF(AND(OR(ISNUMBER(SEARCH("育児休業",$L53)),ISNUMBER(SEARCH("育休",$L53))),$AO53=""),1,0)+IF(AND($AH53="ある",$AI53=""),1,0))</f>
        <v/>
      </c>
    </row>
    <row r="54">
      <c r="A54" s="18" t="n"/>
      <c r="B54" s="18" t="n"/>
      <c r="C54" s="20" t="n"/>
      <c r="D54" s="46" t="n"/>
      <c r="E54" s="46" t="n"/>
      <c r="F54" s="46" t="n"/>
      <c r="G54" s="46" t="n"/>
      <c r="H54" s="18" t="n"/>
      <c r="I54" s="18" t="n"/>
      <c r="J54" s="18" t="n"/>
      <c r="K54" s="46" t="n"/>
      <c r="L54" s="18" t="n"/>
      <c r="M54" s="20" t="n"/>
      <c r="N54" s="20" t="n"/>
      <c r="O54" s="18" t="n"/>
      <c r="P54" s="20" t="n"/>
      <c r="Q54" s="20" t="n"/>
      <c r="R54" s="20" t="n"/>
      <c r="S54" s="20" t="n"/>
      <c r="T54" s="18" t="n"/>
      <c r="U54" s="47" t="n"/>
      <c r="V54" s="18" t="n"/>
      <c r="W54" s="20" t="n"/>
      <c r="X54" s="18" t="n"/>
      <c r="Y54" s="48" t="n"/>
      <c r="Z54" s="18" t="n"/>
      <c r="AA54" s="18" t="n"/>
      <c r="AB54" s="18" t="n"/>
      <c r="AC54" s="18" t="n"/>
      <c r="AD54" s="48" t="n"/>
      <c r="AE54" s="18" t="n"/>
      <c r="AF54" s="18" t="n"/>
      <c r="AG54" s="46" t="n"/>
      <c r="AH54" s="18" t="n"/>
      <c r="AI54" s="18" t="n"/>
      <c r="AJ54" s="18" t="n"/>
      <c r="AK54" s="18" t="n"/>
      <c r="AL54" s="18" t="n"/>
      <c r="AM54" s="18" t="n"/>
      <c r="AN54" s="46" t="n"/>
      <c r="AO54" s="18" t="n"/>
      <c r="AP54" s="18" t="n"/>
      <c r="AQ54" s="12">
        <f>IF($A54="","",IF(AR54&gt;0,"未入力","CSV可"))</f>
        <v/>
      </c>
      <c r="AR54">
        <f>IF($A54="","",IF($A54="",1,0)+IF($B54="",1,0)+IF($C54="",1,0)+IF($D54="",1,0)+IF($E54="",1,0)+IF($F54="",1,0)+IF($G54="",1,0)+IF($H54="",1,0)+IF($I54="",1,0)+IF($L54="",1,0)+IF(AND(OR(ISNUMBER(SEARCH("産前産後",$L54)),ISNUMBER(SEARCH("産休",$L54))),$M54=""),1,0)+IF(AND(OR(ISNUMBER(SEARCH("産前産後",$L54)),ISNUMBER(SEARCH("産休",$L54))),$P54=""),1,0)+IF(AND(OR(ISNUMBER(SEARCH("産前産後",$L54)),ISNUMBER(SEARCH("産休",$L54))),$Q54=""),1,0)+IF(AND(OR(ISNUMBER(SEARCH("産前産後",$L54)),ISNUMBER(SEARCH("産休",$L54))),$O54=""),1,0)+IF(AND(OR(ISNUMBER(SEARCH("産前産後",$L54)),ISNUMBER(SEARCH("産休",$L54))),$AB54=""),1,0)+IF(AND(OR(ISNUMBER(SEARCH("産前産後",$L54)),ISNUMBER(SEARCH("産休",$L54))),$AC54=""),1,0)+IF(AND(OR(ISNUMBER(SEARCH("産前産後",$L54)),ISNUMBER(SEARCH("産休",$L54))),$AF54=""),1,0)+IF(AND(OR(ISNUMBER(SEARCH("産前産後",$L54)),ISNUMBER(SEARCH("産休",$L54))),$AG54=""),1,0)+IF(AND(OR(ISNUMBER(SEARCH("産前産後",$L54)),ISNUMBER(SEARCH("産休",$L54))),$AJ54=""),1,0)+IF(AND(OR(ISNUMBER(SEARCH("育児休業",$L54)),ISNUMBER(SEARCH("育休",$L54))),$R54=""),1,0)+IF(AND(OR(ISNUMBER(SEARCH("育児休業",$L54)),ISNUMBER(SEARCH("育休",$L54))),$S54=""),1,0)+IF(AND(OR(ISNUMBER(SEARCH("育児休業",$L54)),ISNUMBER(SEARCH("育休",$L54))),$Z54=""),1,0)+IF(AND(OR(ISNUMBER(SEARCH("育児休業",$L54)),ISNUMBER(SEARCH("育休",$L54))),$AK54=""),1,0)+IF(AND(OR(ISNUMBER(SEARCH("育児休業",$L54)),ISNUMBER(SEARCH("育休",$L54))),$AL54=""),1,0)+IF(AND(OR(ISNUMBER(SEARCH("育児休業",$L54)),ISNUMBER(SEARCH("育休",$L54))),$AO54=""),1,0)+IF(AND($AH54="ある",$AI54=""),1,0))</f>
        <v/>
      </c>
    </row>
    <row r="55">
      <c r="A55" s="18" t="n"/>
      <c r="B55" s="18" t="n"/>
      <c r="C55" s="20" t="n"/>
      <c r="D55" s="46" t="n"/>
      <c r="E55" s="46" t="n"/>
      <c r="F55" s="46" t="n"/>
      <c r="G55" s="46" t="n"/>
      <c r="H55" s="18" t="n"/>
      <c r="I55" s="18" t="n"/>
      <c r="J55" s="18" t="n"/>
      <c r="K55" s="46" t="n"/>
      <c r="L55" s="18" t="n"/>
      <c r="M55" s="20" t="n"/>
      <c r="N55" s="20" t="n"/>
      <c r="O55" s="18" t="n"/>
      <c r="P55" s="20" t="n"/>
      <c r="Q55" s="20" t="n"/>
      <c r="R55" s="20" t="n"/>
      <c r="S55" s="20" t="n"/>
      <c r="T55" s="18" t="n"/>
      <c r="U55" s="47" t="n"/>
      <c r="V55" s="18" t="n"/>
      <c r="W55" s="20" t="n"/>
      <c r="X55" s="18" t="n"/>
      <c r="Y55" s="48" t="n"/>
      <c r="Z55" s="18" t="n"/>
      <c r="AA55" s="18" t="n"/>
      <c r="AB55" s="18" t="n"/>
      <c r="AC55" s="18" t="n"/>
      <c r="AD55" s="48" t="n"/>
      <c r="AE55" s="18" t="n"/>
      <c r="AF55" s="18" t="n"/>
      <c r="AG55" s="46" t="n"/>
      <c r="AH55" s="18" t="n"/>
      <c r="AI55" s="18" t="n"/>
      <c r="AJ55" s="18" t="n"/>
      <c r="AK55" s="18" t="n"/>
      <c r="AL55" s="18" t="n"/>
      <c r="AM55" s="18" t="n"/>
      <c r="AN55" s="46" t="n"/>
      <c r="AO55" s="18" t="n"/>
      <c r="AP55" s="18" t="n"/>
      <c r="AQ55" s="12">
        <f>IF($A55="","",IF(AR55&gt;0,"未入力","CSV可"))</f>
        <v/>
      </c>
      <c r="AR55">
        <f>IF($A55="","",IF($A55="",1,0)+IF($B55="",1,0)+IF($C55="",1,0)+IF($D55="",1,0)+IF($E55="",1,0)+IF($F55="",1,0)+IF($G55="",1,0)+IF($H55="",1,0)+IF($I55="",1,0)+IF($L55="",1,0)+IF(AND(OR(ISNUMBER(SEARCH("産前産後",$L55)),ISNUMBER(SEARCH("産休",$L55))),$M55=""),1,0)+IF(AND(OR(ISNUMBER(SEARCH("産前産後",$L55)),ISNUMBER(SEARCH("産休",$L55))),$P55=""),1,0)+IF(AND(OR(ISNUMBER(SEARCH("産前産後",$L55)),ISNUMBER(SEARCH("産休",$L55))),$Q55=""),1,0)+IF(AND(OR(ISNUMBER(SEARCH("産前産後",$L55)),ISNUMBER(SEARCH("産休",$L55))),$O55=""),1,0)+IF(AND(OR(ISNUMBER(SEARCH("産前産後",$L55)),ISNUMBER(SEARCH("産休",$L55))),$AB55=""),1,0)+IF(AND(OR(ISNUMBER(SEARCH("産前産後",$L55)),ISNUMBER(SEARCH("産休",$L55))),$AC55=""),1,0)+IF(AND(OR(ISNUMBER(SEARCH("産前産後",$L55)),ISNUMBER(SEARCH("産休",$L55))),$AF55=""),1,0)+IF(AND(OR(ISNUMBER(SEARCH("産前産後",$L55)),ISNUMBER(SEARCH("産休",$L55))),$AG55=""),1,0)+IF(AND(OR(ISNUMBER(SEARCH("産前産後",$L55)),ISNUMBER(SEARCH("産休",$L55))),$AJ55=""),1,0)+IF(AND(OR(ISNUMBER(SEARCH("育児休業",$L55)),ISNUMBER(SEARCH("育休",$L55))),$R55=""),1,0)+IF(AND(OR(ISNUMBER(SEARCH("育児休業",$L55)),ISNUMBER(SEARCH("育休",$L55))),$S55=""),1,0)+IF(AND(OR(ISNUMBER(SEARCH("育児休業",$L55)),ISNUMBER(SEARCH("育休",$L55))),$Z55=""),1,0)+IF(AND(OR(ISNUMBER(SEARCH("育児休業",$L55)),ISNUMBER(SEARCH("育休",$L55))),$AK55=""),1,0)+IF(AND(OR(ISNUMBER(SEARCH("育児休業",$L55)),ISNUMBER(SEARCH("育休",$L55))),$AL55=""),1,0)+IF(AND(OR(ISNUMBER(SEARCH("育児休業",$L55)),ISNUMBER(SEARCH("育休",$L55))),$AO55=""),1,0)+IF(AND($AH55="ある",$AI55=""),1,0))</f>
        <v/>
      </c>
    </row>
    <row r="56">
      <c r="A56" s="18" t="n"/>
      <c r="B56" s="18" t="n"/>
      <c r="C56" s="20" t="n"/>
      <c r="D56" s="46" t="n"/>
      <c r="E56" s="46" t="n"/>
      <c r="F56" s="46" t="n"/>
      <c r="G56" s="46" t="n"/>
      <c r="H56" s="18" t="n"/>
      <c r="I56" s="18" t="n"/>
      <c r="J56" s="18" t="n"/>
      <c r="K56" s="46" t="n"/>
      <c r="L56" s="18" t="n"/>
      <c r="M56" s="20" t="n"/>
      <c r="N56" s="20" t="n"/>
      <c r="O56" s="18" t="n"/>
      <c r="P56" s="20" t="n"/>
      <c r="Q56" s="20" t="n"/>
      <c r="R56" s="20" t="n"/>
      <c r="S56" s="20" t="n"/>
      <c r="T56" s="18" t="n"/>
      <c r="U56" s="47" t="n"/>
      <c r="V56" s="18" t="n"/>
      <c r="W56" s="20" t="n"/>
      <c r="X56" s="18" t="n"/>
      <c r="Y56" s="48" t="n"/>
      <c r="Z56" s="18" t="n"/>
      <c r="AA56" s="18" t="n"/>
      <c r="AB56" s="18" t="n"/>
      <c r="AC56" s="18" t="n"/>
      <c r="AD56" s="48" t="n"/>
      <c r="AE56" s="18" t="n"/>
      <c r="AF56" s="18" t="n"/>
      <c r="AG56" s="46" t="n"/>
      <c r="AH56" s="18" t="n"/>
      <c r="AI56" s="18" t="n"/>
      <c r="AJ56" s="18" t="n"/>
      <c r="AK56" s="18" t="n"/>
      <c r="AL56" s="18" t="n"/>
      <c r="AM56" s="18" t="n"/>
      <c r="AN56" s="46" t="n"/>
      <c r="AO56" s="18" t="n"/>
      <c r="AP56" s="18" t="n"/>
      <c r="AQ56" s="12">
        <f>IF($A56="","",IF(AR56&gt;0,"未入力","CSV可"))</f>
        <v/>
      </c>
      <c r="AR56">
        <f>IF($A56="","",IF($A56="",1,0)+IF($B56="",1,0)+IF($C56="",1,0)+IF($D56="",1,0)+IF($E56="",1,0)+IF($F56="",1,0)+IF($G56="",1,0)+IF($H56="",1,0)+IF($I56="",1,0)+IF($L56="",1,0)+IF(AND(OR(ISNUMBER(SEARCH("産前産後",$L56)),ISNUMBER(SEARCH("産休",$L56))),$M56=""),1,0)+IF(AND(OR(ISNUMBER(SEARCH("産前産後",$L56)),ISNUMBER(SEARCH("産休",$L56))),$P56=""),1,0)+IF(AND(OR(ISNUMBER(SEARCH("産前産後",$L56)),ISNUMBER(SEARCH("産休",$L56))),$Q56=""),1,0)+IF(AND(OR(ISNUMBER(SEARCH("産前産後",$L56)),ISNUMBER(SEARCH("産休",$L56))),$O56=""),1,0)+IF(AND(OR(ISNUMBER(SEARCH("産前産後",$L56)),ISNUMBER(SEARCH("産休",$L56))),$AB56=""),1,0)+IF(AND(OR(ISNUMBER(SEARCH("産前産後",$L56)),ISNUMBER(SEARCH("産休",$L56))),$AC56=""),1,0)+IF(AND(OR(ISNUMBER(SEARCH("産前産後",$L56)),ISNUMBER(SEARCH("産休",$L56))),$AF56=""),1,0)+IF(AND(OR(ISNUMBER(SEARCH("産前産後",$L56)),ISNUMBER(SEARCH("産休",$L56))),$AG56=""),1,0)+IF(AND(OR(ISNUMBER(SEARCH("産前産後",$L56)),ISNUMBER(SEARCH("産休",$L56))),$AJ56=""),1,0)+IF(AND(OR(ISNUMBER(SEARCH("育児休業",$L56)),ISNUMBER(SEARCH("育休",$L56))),$R56=""),1,0)+IF(AND(OR(ISNUMBER(SEARCH("育児休業",$L56)),ISNUMBER(SEARCH("育休",$L56))),$S56=""),1,0)+IF(AND(OR(ISNUMBER(SEARCH("育児休業",$L56)),ISNUMBER(SEARCH("育休",$L56))),$Z56=""),1,0)+IF(AND(OR(ISNUMBER(SEARCH("育児休業",$L56)),ISNUMBER(SEARCH("育休",$L56))),$AK56=""),1,0)+IF(AND(OR(ISNUMBER(SEARCH("育児休業",$L56)),ISNUMBER(SEARCH("育休",$L56))),$AL56=""),1,0)+IF(AND(OR(ISNUMBER(SEARCH("育児休業",$L56)),ISNUMBER(SEARCH("育休",$L56))),$AO56=""),1,0)+IF(AND($AH56="ある",$AI56=""),1,0))</f>
        <v/>
      </c>
    </row>
    <row r="57">
      <c r="A57" s="18" t="n"/>
      <c r="B57" s="18" t="n"/>
      <c r="C57" s="20" t="n"/>
      <c r="D57" s="46" t="n"/>
      <c r="E57" s="46" t="n"/>
      <c r="F57" s="46" t="n"/>
      <c r="G57" s="46" t="n"/>
      <c r="H57" s="18" t="n"/>
      <c r="I57" s="18" t="n"/>
      <c r="J57" s="18" t="n"/>
      <c r="K57" s="46" t="n"/>
      <c r="L57" s="18" t="n"/>
      <c r="M57" s="20" t="n"/>
      <c r="N57" s="20" t="n"/>
      <c r="O57" s="18" t="n"/>
      <c r="P57" s="20" t="n"/>
      <c r="Q57" s="20" t="n"/>
      <c r="R57" s="20" t="n"/>
      <c r="S57" s="20" t="n"/>
      <c r="T57" s="18" t="n"/>
      <c r="U57" s="47" t="n"/>
      <c r="V57" s="18" t="n"/>
      <c r="W57" s="20" t="n"/>
      <c r="X57" s="18" t="n"/>
      <c r="Y57" s="48" t="n"/>
      <c r="Z57" s="18" t="n"/>
      <c r="AA57" s="18" t="n"/>
      <c r="AB57" s="18" t="n"/>
      <c r="AC57" s="18" t="n"/>
      <c r="AD57" s="48" t="n"/>
      <c r="AE57" s="18" t="n"/>
      <c r="AF57" s="18" t="n"/>
      <c r="AG57" s="46" t="n"/>
      <c r="AH57" s="18" t="n"/>
      <c r="AI57" s="18" t="n"/>
      <c r="AJ57" s="18" t="n"/>
      <c r="AK57" s="18" t="n"/>
      <c r="AL57" s="18" t="n"/>
      <c r="AM57" s="18" t="n"/>
      <c r="AN57" s="46" t="n"/>
      <c r="AO57" s="18" t="n"/>
      <c r="AP57" s="18" t="n"/>
      <c r="AQ57" s="12">
        <f>IF($A57="","",IF(AR57&gt;0,"未入力","CSV可"))</f>
        <v/>
      </c>
      <c r="AR57">
        <f>IF($A57="","",IF($A57="",1,0)+IF($B57="",1,0)+IF($C57="",1,0)+IF($D57="",1,0)+IF($E57="",1,0)+IF($F57="",1,0)+IF($G57="",1,0)+IF($H57="",1,0)+IF($I57="",1,0)+IF($L57="",1,0)+IF(AND(OR(ISNUMBER(SEARCH("産前産後",$L57)),ISNUMBER(SEARCH("産休",$L57))),$M57=""),1,0)+IF(AND(OR(ISNUMBER(SEARCH("産前産後",$L57)),ISNUMBER(SEARCH("産休",$L57))),$P57=""),1,0)+IF(AND(OR(ISNUMBER(SEARCH("産前産後",$L57)),ISNUMBER(SEARCH("産休",$L57))),$Q57=""),1,0)+IF(AND(OR(ISNUMBER(SEARCH("産前産後",$L57)),ISNUMBER(SEARCH("産休",$L57))),$O57=""),1,0)+IF(AND(OR(ISNUMBER(SEARCH("産前産後",$L57)),ISNUMBER(SEARCH("産休",$L57))),$AB57=""),1,0)+IF(AND(OR(ISNUMBER(SEARCH("産前産後",$L57)),ISNUMBER(SEARCH("産休",$L57))),$AC57=""),1,0)+IF(AND(OR(ISNUMBER(SEARCH("産前産後",$L57)),ISNUMBER(SEARCH("産休",$L57))),$AF57=""),1,0)+IF(AND(OR(ISNUMBER(SEARCH("産前産後",$L57)),ISNUMBER(SEARCH("産休",$L57))),$AG57=""),1,0)+IF(AND(OR(ISNUMBER(SEARCH("産前産後",$L57)),ISNUMBER(SEARCH("産休",$L57))),$AJ57=""),1,0)+IF(AND(OR(ISNUMBER(SEARCH("育児休業",$L57)),ISNUMBER(SEARCH("育休",$L57))),$R57=""),1,0)+IF(AND(OR(ISNUMBER(SEARCH("育児休業",$L57)),ISNUMBER(SEARCH("育休",$L57))),$S57=""),1,0)+IF(AND(OR(ISNUMBER(SEARCH("育児休業",$L57)),ISNUMBER(SEARCH("育休",$L57))),$Z57=""),1,0)+IF(AND(OR(ISNUMBER(SEARCH("育児休業",$L57)),ISNUMBER(SEARCH("育休",$L57))),$AK57=""),1,0)+IF(AND(OR(ISNUMBER(SEARCH("育児休業",$L57)),ISNUMBER(SEARCH("育休",$L57))),$AL57=""),1,0)+IF(AND(OR(ISNUMBER(SEARCH("育児休業",$L57)),ISNUMBER(SEARCH("育休",$L57))),$AO57=""),1,0)+IF(AND($AH57="ある",$AI57=""),1,0))</f>
        <v/>
      </c>
    </row>
    <row r="58">
      <c r="A58" s="18" t="n"/>
      <c r="B58" s="18" t="n"/>
      <c r="C58" s="20" t="n"/>
      <c r="D58" s="46" t="n"/>
      <c r="E58" s="46" t="n"/>
      <c r="F58" s="46" t="n"/>
      <c r="G58" s="46" t="n"/>
      <c r="H58" s="18" t="n"/>
      <c r="I58" s="18" t="n"/>
      <c r="J58" s="18" t="n"/>
      <c r="K58" s="46" t="n"/>
      <c r="L58" s="18" t="n"/>
      <c r="M58" s="20" t="n"/>
      <c r="N58" s="20" t="n"/>
      <c r="O58" s="18" t="n"/>
      <c r="P58" s="20" t="n"/>
      <c r="Q58" s="20" t="n"/>
      <c r="R58" s="20" t="n"/>
      <c r="S58" s="20" t="n"/>
      <c r="T58" s="18" t="n"/>
      <c r="U58" s="47" t="n"/>
      <c r="V58" s="18" t="n"/>
      <c r="W58" s="20" t="n"/>
      <c r="X58" s="18" t="n"/>
      <c r="Y58" s="48" t="n"/>
      <c r="Z58" s="18" t="n"/>
      <c r="AA58" s="18" t="n"/>
      <c r="AB58" s="18" t="n"/>
      <c r="AC58" s="18" t="n"/>
      <c r="AD58" s="48" t="n"/>
      <c r="AE58" s="18" t="n"/>
      <c r="AF58" s="18" t="n"/>
      <c r="AG58" s="46" t="n"/>
      <c r="AH58" s="18" t="n"/>
      <c r="AI58" s="18" t="n"/>
      <c r="AJ58" s="18" t="n"/>
      <c r="AK58" s="18" t="n"/>
      <c r="AL58" s="18" t="n"/>
      <c r="AM58" s="18" t="n"/>
      <c r="AN58" s="46" t="n"/>
      <c r="AO58" s="18" t="n"/>
      <c r="AP58" s="18" t="n"/>
      <c r="AQ58" s="12">
        <f>IF($A58="","",IF(AR58&gt;0,"未入力","CSV可"))</f>
        <v/>
      </c>
      <c r="AR58">
        <f>IF($A58="","",IF($A58="",1,0)+IF($B58="",1,0)+IF($C58="",1,0)+IF($D58="",1,0)+IF($E58="",1,0)+IF($F58="",1,0)+IF($G58="",1,0)+IF($H58="",1,0)+IF($I58="",1,0)+IF($L58="",1,0)+IF(AND(OR(ISNUMBER(SEARCH("産前産後",$L58)),ISNUMBER(SEARCH("産休",$L58))),$M58=""),1,0)+IF(AND(OR(ISNUMBER(SEARCH("産前産後",$L58)),ISNUMBER(SEARCH("産休",$L58))),$P58=""),1,0)+IF(AND(OR(ISNUMBER(SEARCH("産前産後",$L58)),ISNUMBER(SEARCH("産休",$L58))),$Q58=""),1,0)+IF(AND(OR(ISNUMBER(SEARCH("産前産後",$L58)),ISNUMBER(SEARCH("産休",$L58))),$O58=""),1,0)+IF(AND(OR(ISNUMBER(SEARCH("産前産後",$L58)),ISNUMBER(SEARCH("産休",$L58))),$AB58=""),1,0)+IF(AND(OR(ISNUMBER(SEARCH("産前産後",$L58)),ISNUMBER(SEARCH("産休",$L58))),$AC58=""),1,0)+IF(AND(OR(ISNUMBER(SEARCH("産前産後",$L58)),ISNUMBER(SEARCH("産休",$L58))),$AF58=""),1,0)+IF(AND(OR(ISNUMBER(SEARCH("産前産後",$L58)),ISNUMBER(SEARCH("産休",$L58))),$AG58=""),1,0)+IF(AND(OR(ISNUMBER(SEARCH("産前産後",$L58)),ISNUMBER(SEARCH("産休",$L58))),$AJ58=""),1,0)+IF(AND(OR(ISNUMBER(SEARCH("育児休業",$L58)),ISNUMBER(SEARCH("育休",$L58))),$R58=""),1,0)+IF(AND(OR(ISNUMBER(SEARCH("育児休業",$L58)),ISNUMBER(SEARCH("育休",$L58))),$S58=""),1,0)+IF(AND(OR(ISNUMBER(SEARCH("育児休業",$L58)),ISNUMBER(SEARCH("育休",$L58))),$Z58=""),1,0)+IF(AND(OR(ISNUMBER(SEARCH("育児休業",$L58)),ISNUMBER(SEARCH("育休",$L58))),$AK58=""),1,0)+IF(AND(OR(ISNUMBER(SEARCH("育児休業",$L58)),ISNUMBER(SEARCH("育休",$L58))),$AL58=""),1,0)+IF(AND(OR(ISNUMBER(SEARCH("育児休業",$L58)),ISNUMBER(SEARCH("育休",$L58))),$AO58=""),1,0)+IF(AND($AH58="ある",$AI58=""),1,0))</f>
        <v/>
      </c>
    </row>
  </sheetData>
  <mergeCells count="21">
    <mergeCell ref="V1:AP1"/>
    <mergeCell ref="L6"/>
    <mergeCell ref="M6:O6"/>
    <mergeCell ref="V6:X6"/>
    <mergeCell ref="C4:D4"/>
    <mergeCell ref="A6:K6"/>
    <mergeCell ref="E4:F4"/>
    <mergeCell ref="Y6:AA6"/>
    <mergeCell ref="P6:Q6"/>
    <mergeCell ref="A5:L5"/>
    <mergeCell ref="A3:B3"/>
    <mergeCell ref="G3:H3"/>
    <mergeCell ref="R6:U6"/>
    <mergeCell ref="A4:B4"/>
    <mergeCell ref="G4:H4"/>
    <mergeCell ref="AB6:AJ6"/>
    <mergeCell ref="AK6:AO6"/>
    <mergeCell ref="AP6"/>
    <mergeCell ref="A1:U1"/>
    <mergeCell ref="C3:D3"/>
    <mergeCell ref="E3:F3"/>
  </mergeCells>
  <conditionalFormatting sqref="G4">
    <cfRule type="dataBar" priority="1">
      <dataBar showValue="1">
        <cfvo type="num" val="0"/>
        <cfvo type="num" val="1"/>
        <color rgb="0063C384"/>
      </dataBar>
    </cfRule>
  </conditionalFormatting>
  <conditionalFormatting sqref="A5">
    <cfRule type="expression" priority="2" dxfId="0" stopIfTrue="1">
      <formula>ISNUMBER(SEARCH("未入力はありません",A5))</formula>
    </cfRule>
    <cfRule type="expression" priority="3" dxfId="1" stopIfTrue="1">
      <formula>ISNUMBER(SEARCH("未入力が",A5))</formula>
    </cfRule>
    <cfRule type="expression" priority="4" dxfId="2" stopIfTrue="1">
      <formula>ISNUMBER(SEARCH("式の入っていない",A5))</formula>
    </cfRule>
  </conditionalFormatting>
  <conditionalFormatting sqref="B9:B58">
    <cfRule type="expression" priority="5" dxfId="2" stopIfTrue="1">
      <formula>AND($A9&lt;&gt;"",B9="")</formula>
    </cfRule>
    <cfRule type="expression" priority="55" dxfId="1" stopIfTrue="1">
      <formula>AND(B9&lt;&gt;"",LENB(B9)&lt;&gt;LEN(B9)*2)</formula>
    </cfRule>
    <cfRule type="expression" priority="56" dxfId="1" stopIfTrue="1">
      <formula>AND(B9&lt;&gt;"",ISERROR(FIND("　",B9)),ISERROR(FIND(" ",B9)))</formula>
    </cfRule>
  </conditionalFormatting>
  <conditionalFormatting sqref="C9:C58">
    <cfRule type="expression" priority="6" dxfId="2" stopIfTrue="1">
      <formula>AND($A9&lt;&gt;"",C9="")</formula>
    </cfRule>
    <cfRule type="expression" priority="57" dxfId="1" stopIfTrue="1">
      <formula>AND(ISNUMBER(C9),C9&gt;80000)</formula>
    </cfRule>
  </conditionalFormatting>
  <conditionalFormatting sqref="D9:D58">
    <cfRule type="expression" priority="7" dxfId="2" stopIfTrue="1">
      <formula>AND($A9&lt;&gt;"",D9="")</formula>
    </cfRule>
    <cfRule type="expression" priority="47" dxfId="1" stopIfTrue="1">
      <formula>AND(D9&lt;&gt;"",D9&lt;&gt;"後日提出",D9&lt;&gt;"別経路提出",LEN(D9)&lt;&gt;12)</formula>
    </cfRule>
    <cfRule type="expression" priority="58" dxfId="1" stopIfTrue="1">
      <formula>AND(D9&lt;&gt;"",D9&lt;&gt;"後日提出",D9&lt;&gt;"別経路提出",LENB(D9)&lt;&gt;LEN(D9))</formula>
    </cfRule>
  </conditionalFormatting>
  <conditionalFormatting sqref="E9:E58">
    <cfRule type="expression" priority="8" dxfId="2" stopIfTrue="1">
      <formula>AND($A9&lt;&gt;"",E9="")</formula>
    </cfRule>
    <cfRule type="expression" priority="48" dxfId="1" stopIfTrue="1">
      <formula>AND(E9&lt;&gt;"",E9&lt;&gt;"後日提出",LEN(E9)&lt;&gt;10)</formula>
    </cfRule>
    <cfRule type="expression" priority="59" dxfId="1" stopIfTrue="1">
      <formula>AND(E9&lt;&gt;"",E9&lt;&gt;"後日提出",LENB(E9)&lt;&gt;LEN(E9))</formula>
    </cfRule>
  </conditionalFormatting>
  <conditionalFormatting sqref="F9:F58">
    <cfRule type="expression" priority="9" dxfId="2" stopIfTrue="1">
      <formula>AND($A9&lt;&gt;"",F9="")</formula>
    </cfRule>
    <cfRule type="expression" priority="49" dxfId="1" stopIfTrue="1">
      <formula>AND(F9&lt;&gt;"",F9&lt;&gt;"後日提出",F9&lt;&gt;"なし",LEN(F9)&lt;&gt;11)</formula>
    </cfRule>
    <cfRule type="expression" priority="60" dxfId="1" stopIfTrue="1">
      <formula>AND(F9&lt;&gt;"",F9&lt;&gt;"後日提出",F9&lt;&gt;"なし",LENB(F9)&lt;&gt;LEN(F9))</formula>
    </cfRule>
  </conditionalFormatting>
  <conditionalFormatting sqref="G9:G58">
    <cfRule type="expression" priority="10" dxfId="2" stopIfTrue="1">
      <formula>AND($A9&lt;&gt;"",G9="")</formula>
    </cfRule>
    <cfRule type="expression" priority="50" dxfId="1" stopIfTrue="1">
      <formula>AND(G9&lt;&gt;"",LEN(SUBSTITUTE(G9,"-",""))&lt;&gt;7)</formula>
    </cfRule>
    <cfRule type="expression" priority="61" dxfId="1" stopIfTrue="1">
      <formula>AND(G9&lt;&gt;"",LENB(G9)&lt;&gt;LEN(G9))</formula>
    </cfRule>
  </conditionalFormatting>
  <conditionalFormatting sqref="H9:H58">
    <cfRule type="expression" priority="11" dxfId="2" stopIfTrue="1">
      <formula>AND($A9&lt;&gt;"",H9="")</formula>
    </cfRule>
  </conditionalFormatting>
  <conditionalFormatting sqref="I9:I58">
    <cfRule type="expression" priority="12" dxfId="2" stopIfTrue="1">
      <formula>AND($A9&lt;&gt;"",I9="")</formula>
    </cfRule>
    <cfRule type="expression" priority="62" dxfId="1" stopIfTrue="1">
      <formula>AND(I9&lt;&gt;"",LENB(I9)&lt;&gt;LEN(I9)*2)</formula>
    </cfRule>
  </conditionalFormatting>
  <conditionalFormatting sqref="L9:L58">
    <cfRule type="expression" priority="13" dxfId="2" stopIfTrue="1">
      <formula>AND($A9&lt;&gt;"",L9="")</formula>
    </cfRule>
  </conditionalFormatting>
  <conditionalFormatting sqref="A9:A58">
    <cfRule type="expression" priority="14" dxfId="2" stopIfTrue="1">
      <formula>AND($A9="",OR($L9&lt;&gt;"",$M9&lt;&gt;""))</formula>
    </cfRule>
    <cfRule type="expression" priority="53" dxfId="1" stopIfTrue="1">
      <formula>AND(A9&lt;&gt;"",LENB(A9)&lt;&gt;LEN(A9)*2)</formula>
    </cfRule>
    <cfRule type="expression" priority="54" dxfId="1" stopIfTrue="1">
      <formula>AND(A9&lt;&gt;"",ISERROR(FIND("　",A9)),ISERROR(FIND(" ",A9)))</formula>
    </cfRule>
  </conditionalFormatting>
  <conditionalFormatting sqref="M9:M58">
    <cfRule type="expression" priority="15" dxfId="2" stopIfTrue="1">
      <formula>AND(OR(ISNUMBER(SEARCH("産前産後",$L9)),ISNUMBER(SEARCH("産休",$L9))),M9="")</formula>
    </cfRule>
    <cfRule type="expression" priority="31" dxfId="3" stopIfTrue="1">
      <formula>AND($L9&lt;&gt;"",NOT(OR(ISNUMBER(SEARCH("産前産後",$L9)),ISNUMBER(SEARCH("産休",$L9)))),M9="")</formula>
    </cfRule>
    <cfRule type="expression" priority="65" dxfId="1" stopIfTrue="1">
      <formula>AND(ISNUMBER(M9),M9&gt;80000)</formula>
    </cfRule>
  </conditionalFormatting>
  <conditionalFormatting sqref="P9:P58">
    <cfRule type="expression" priority="16" dxfId="2" stopIfTrue="1">
      <formula>AND(OR(ISNUMBER(SEARCH("産前産後",$L9)),ISNUMBER(SEARCH("産休",$L9))),P9="")</formula>
    </cfRule>
    <cfRule type="expression" priority="32" dxfId="3" stopIfTrue="1">
      <formula>AND($L9&lt;&gt;"",NOT(OR(ISNUMBER(SEARCH("産前産後",$L9)),ISNUMBER(SEARCH("産休",$L9)))),P9="")</formula>
    </cfRule>
    <cfRule type="expression" priority="67" dxfId="1" stopIfTrue="1">
      <formula>AND(ISNUMBER(P9),P9&gt;80000)</formula>
    </cfRule>
  </conditionalFormatting>
  <conditionalFormatting sqref="Q9:Q58">
    <cfRule type="expression" priority="17" dxfId="2" stopIfTrue="1">
      <formula>AND(OR(ISNUMBER(SEARCH("産前産後",$L9)),ISNUMBER(SEARCH("産休",$L9))),Q9="")</formula>
    </cfRule>
    <cfRule type="expression" priority="33" dxfId="3" stopIfTrue="1">
      <formula>AND($L9&lt;&gt;"",NOT(OR(ISNUMBER(SEARCH("産前産後",$L9)),ISNUMBER(SEARCH("産休",$L9)))),Q9="")</formula>
    </cfRule>
    <cfRule type="expression" priority="51" dxfId="1" stopIfTrue="1">
      <formula>AND($P9&lt;&gt;"",$Q9&lt;&gt;"",$Q9&lt;$P9)</formula>
    </cfRule>
    <cfRule type="expression" priority="68" dxfId="1" stopIfTrue="1">
      <formula>AND(ISNUMBER(Q9),Q9&gt;80000)</formula>
    </cfRule>
  </conditionalFormatting>
  <conditionalFormatting sqref="O9:O58">
    <cfRule type="expression" priority="18" dxfId="2" stopIfTrue="1">
      <formula>AND(OR(ISNUMBER(SEARCH("産前産後",$L9)),ISNUMBER(SEARCH("産休",$L9))),O9="")</formula>
    </cfRule>
    <cfRule type="expression" priority="34" dxfId="3" stopIfTrue="1">
      <formula>AND($L9&lt;&gt;"",NOT(OR(ISNUMBER(SEARCH("産前産後",$L9)),ISNUMBER(SEARCH("産休",$L9)))),O9="")</formula>
    </cfRule>
  </conditionalFormatting>
  <conditionalFormatting sqref="AB9:AB58">
    <cfRule type="expression" priority="19" dxfId="2" stopIfTrue="1">
      <formula>AND(OR(ISNUMBER(SEARCH("産前産後",$L9)),ISNUMBER(SEARCH("産休",$L9))),AB9="")</formula>
    </cfRule>
    <cfRule type="expression" priority="35" dxfId="3" stopIfTrue="1">
      <formula>AND($L9&lt;&gt;"",NOT(OR(ISNUMBER(SEARCH("産前産後",$L9)),ISNUMBER(SEARCH("産休",$L9)))),AB9="")</formula>
    </cfRule>
  </conditionalFormatting>
  <conditionalFormatting sqref="AC9:AC58">
    <cfRule type="expression" priority="20" dxfId="2" stopIfTrue="1">
      <formula>AND(OR(ISNUMBER(SEARCH("産前産後",$L9)),ISNUMBER(SEARCH("産休",$L9))),AC9="")</formula>
    </cfRule>
    <cfRule type="expression" priority="36" dxfId="3" stopIfTrue="1">
      <formula>AND($L9&lt;&gt;"",NOT(OR(ISNUMBER(SEARCH("産前産後",$L9)),ISNUMBER(SEARCH("産休",$L9)))),AC9="")</formula>
    </cfRule>
  </conditionalFormatting>
  <conditionalFormatting sqref="AF9:AF58">
    <cfRule type="expression" priority="21" dxfId="2" stopIfTrue="1">
      <formula>AND(OR(ISNUMBER(SEARCH("産前産後",$L9)),ISNUMBER(SEARCH("産休",$L9))),AF9="")</formula>
    </cfRule>
    <cfRule type="expression" priority="37" dxfId="3" stopIfTrue="1">
      <formula>AND($L9&lt;&gt;"",NOT(OR(ISNUMBER(SEARCH("産前産後",$L9)),ISNUMBER(SEARCH("産休",$L9)))),AF9="")</formula>
    </cfRule>
  </conditionalFormatting>
  <conditionalFormatting sqref="AG9:AG58">
    <cfRule type="expression" priority="22" dxfId="2" stopIfTrue="1">
      <formula>AND(OR(ISNUMBER(SEARCH("産前産後",$L9)),ISNUMBER(SEARCH("産休",$L9))),AG9="")</formula>
    </cfRule>
    <cfRule type="expression" priority="38" dxfId="3" stopIfTrue="1">
      <formula>AND($L9&lt;&gt;"",NOT(OR(ISNUMBER(SEARCH("産前産後",$L9)),ISNUMBER(SEARCH("産休",$L9)))),AG9="")</formula>
    </cfRule>
  </conditionalFormatting>
  <conditionalFormatting sqref="AJ9:AJ58">
    <cfRule type="expression" priority="23" dxfId="2" stopIfTrue="1">
      <formula>AND(OR(ISNUMBER(SEARCH("産前産後",$L9)),ISNUMBER(SEARCH("産休",$L9))),AJ9="")</formula>
    </cfRule>
    <cfRule type="expression" priority="39" dxfId="3" stopIfTrue="1">
      <formula>AND($L9&lt;&gt;"",NOT(OR(ISNUMBER(SEARCH("産前産後",$L9)),ISNUMBER(SEARCH("産休",$L9)))),AJ9="")</formula>
    </cfRule>
  </conditionalFormatting>
  <conditionalFormatting sqref="R9:R58">
    <cfRule type="expression" priority="24" dxfId="2" stopIfTrue="1">
      <formula>AND(OR(ISNUMBER(SEARCH("育児休業",$L9)),ISNUMBER(SEARCH("育休",$L9))),R9="")</formula>
    </cfRule>
    <cfRule type="expression" priority="40" dxfId="3" stopIfTrue="1">
      <formula>AND($L9&lt;&gt;"",NOT(OR(ISNUMBER(SEARCH("育児休業",$L9)),ISNUMBER(SEARCH("育休",$L9)))),R9="")</formula>
    </cfRule>
    <cfRule type="expression" priority="69" dxfId="1" stopIfTrue="1">
      <formula>AND(ISNUMBER(R9),R9&gt;80000)</formula>
    </cfRule>
  </conditionalFormatting>
  <conditionalFormatting sqref="S9:S58">
    <cfRule type="expression" priority="25" dxfId="2" stopIfTrue="1">
      <formula>AND(OR(ISNUMBER(SEARCH("育児休業",$L9)),ISNUMBER(SEARCH("育休",$L9))),S9="")</formula>
    </cfRule>
    <cfRule type="expression" priority="41" dxfId="3" stopIfTrue="1">
      <formula>AND($L9&lt;&gt;"",NOT(OR(ISNUMBER(SEARCH("育児休業",$L9)),ISNUMBER(SEARCH("育休",$L9)))),S9="")</formula>
    </cfRule>
    <cfRule type="expression" priority="52" dxfId="1" stopIfTrue="1">
      <formula>AND($R9&lt;&gt;"",$S9&lt;&gt;"",$S9&lt;$R9)</formula>
    </cfRule>
    <cfRule type="expression" priority="70" dxfId="1" stopIfTrue="1">
      <formula>AND(ISNUMBER(S9),S9&gt;80000)</formula>
    </cfRule>
  </conditionalFormatting>
  <conditionalFormatting sqref="Z9:Z58">
    <cfRule type="expression" priority="26" dxfId="2" stopIfTrue="1">
      <formula>AND(OR(ISNUMBER(SEARCH("育児休業",$L9)),ISNUMBER(SEARCH("育休",$L9))),Z9="")</formula>
    </cfRule>
    <cfRule type="expression" priority="42" dxfId="3" stopIfTrue="1">
      <formula>AND($L9&lt;&gt;"",NOT(OR(ISNUMBER(SEARCH("育児休業",$L9)),ISNUMBER(SEARCH("育休",$L9)))),Z9="")</formula>
    </cfRule>
  </conditionalFormatting>
  <conditionalFormatting sqref="AK9:AK58">
    <cfRule type="expression" priority="27" dxfId="2" stopIfTrue="1">
      <formula>AND(OR(ISNUMBER(SEARCH("育児休業",$L9)),ISNUMBER(SEARCH("育休",$L9))),AK9="")</formula>
    </cfRule>
    <cfRule type="expression" priority="43" dxfId="3" stopIfTrue="1">
      <formula>AND($L9&lt;&gt;"",NOT(OR(ISNUMBER(SEARCH("育児休業",$L9)),ISNUMBER(SEARCH("育休",$L9)))),AK9="")</formula>
    </cfRule>
  </conditionalFormatting>
  <conditionalFormatting sqref="AL9:AL58">
    <cfRule type="expression" priority="28" dxfId="2" stopIfTrue="1">
      <formula>AND(OR(ISNUMBER(SEARCH("育児休業",$L9)),ISNUMBER(SEARCH("育休",$L9))),AL9="")</formula>
    </cfRule>
    <cfRule type="expression" priority="44" dxfId="3" stopIfTrue="1">
      <formula>AND($L9&lt;&gt;"",NOT(OR(ISNUMBER(SEARCH("育児休業",$L9)),ISNUMBER(SEARCH("育休",$L9)))),AL9="")</formula>
    </cfRule>
  </conditionalFormatting>
  <conditionalFormatting sqref="AO9:AO58">
    <cfRule type="expression" priority="29" dxfId="2" stopIfTrue="1">
      <formula>AND(OR(ISNUMBER(SEARCH("育児休業",$L9)),ISNUMBER(SEARCH("育休",$L9))),AO9="")</formula>
    </cfRule>
    <cfRule type="expression" priority="45" dxfId="3" stopIfTrue="1">
      <formula>AND($L9&lt;&gt;"",NOT(OR(ISNUMBER(SEARCH("育児休業",$L9)),ISNUMBER(SEARCH("育休",$L9)))),AO9="")</formula>
    </cfRule>
  </conditionalFormatting>
  <conditionalFormatting sqref="AI9:AI58">
    <cfRule type="expression" priority="30" dxfId="2" stopIfTrue="1">
      <formula>AND($AH9="ある",AI9="")</formula>
    </cfRule>
    <cfRule type="expression" priority="46" dxfId="3" stopIfTrue="1">
      <formula>AND($AH9&lt;&gt;"",NOT($AH9="ある"),AI9="")</formula>
    </cfRule>
    <cfRule type="expression" priority="74" dxfId="1" stopIfTrue="1">
      <formula>AND(AI9&lt;&gt;"",LENB(AI9)&lt;&gt;LEN(AI9)*2)</formula>
    </cfRule>
  </conditionalFormatting>
  <conditionalFormatting sqref="J9:J58">
    <cfRule type="expression" priority="63" dxfId="1" stopIfTrue="1">
      <formula>AND(J9&lt;&gt;"",LENB(J9)&lt;&gt;LEN(J9)*2)</formula>
    </cfRule>
  </conditionalFormatting>
  <conditionalFormatting sqref="K9:K58">
    <cfRule type="expression" priority="64" dxfId="1" stopIfTrue="1">
      <formula>AND(K9&lt;&gt;"",LENB(K9)&lt;&gt;LEN(K9))</formula>
    </cfRule>
  </conditionalFormatting>
  <conditionalFormatting sqref="N9:N58">
    <cfRule type="expression" priority="66" dxfId="1" stopIfTrue="1">
      <formula>AND(ISNUMBER(N9),N9&gt;80000)</formula>
    </cfRule>
  </conditionalFormatting>
  <conditionalFormatting sqref="V9:V58">
    <cfRule type="expression" priority="71" dxfId="1" stopIfTrue="1">
      <formula>AND(V9&lt;&gt;"",LENB(V9)&lt;&gt;LEN(V9)*2)</formula>
    </cfRule>
    <cfRule type="expression" priority="72" dxfId="1" stopIfTrue="1">
      <formula>AND(V9&lt;&gt;"",ISERROR(FIND("　",V9)),ISERROR(FIND(" ",V9)))</formula>
    </cfRule>
  </conditionalFormatting>
  <conditionalFormatting sqref="W9:W58">
    <cfRule type="expression" priority="73" dxfId="1" stopIfTrue="1">
      <formula>AND(ISNUMBER(W9),W9&gt;80000)</formula>
    </cfRule>
  </conditionalFormatting>
  <conditionalFormatting sqref="AN9:AN58">
    <cfRule type="expression" priority="75" dxfId="1" stopIfTrue="1">
      <formula>AND(AN9&lt;&gt;"",LENB(AN9)&lt;&gt;LEN(AN9))</formula>
    </cfRule>
  </conditionalFormatting>
  <conditionalFormatting sqref="AQ9:AQ58">
    <cfRule type="expression" priority="76" dxfId="0" stopIfTrue="1">
      <formula>AQ9="CSV可"</formula>
    </cfRule>
    <cfRule type="expression" priority="77" dxfId="1" stopIfTrue="1">
      <formula>AQ9="未入力"</formula>
    </cfRule>
  </conditionalFormatting>
  <dataValidations count="31">
    <dataValidation sqref="C8:C58" showDropDown="0" showInputMessage="1" showErrorMessage="1" allowBlank="1" promptTitle="入力のヒント" prompt="西暦の生年月日。例 1990/4/1。" type="whole" errorStyle="warning" operator="between">
      <formula1>1</formula1>
      <formula2>99999999</formula2>
    </dataValidation>
    <dataValidation sqref="D8:D58" showDropDown="0" showInputMessage="1" showErrorMessage="0" allowBlank="1" promptTitle="入力のヒント" prompt="12桁の数字。ハイフン無し。会社所定の安全な経路で別提出する場合は『別経路提出』、未回収なら『後日提出』を選択。" type="list" errorStyle="stop">
      <formula1>m_番号提出状態</formula1>
    </dataValidation>
    <dataValidation sqref="E8:E58" showDropDown="0" showInputMessage="1" showErrorMessage="0" allowBlank="1" promptTitle="入力のヒント" prompt="基礎年金番号10桁（年金手帳・基礎年金番号通知書に記載）。ハイフン無し。不明なときは『後日提出』を選択。" type="list" errorStyle="stop">
      <formula1>m_後日提出</formula1>
    </dataValidation>
    <dataValidation sqref="F8:F58" showDropDown="0" showInputMessage="1" showErrorMessage="0" allowBlank="1" promptTitle="入力のヒント" prompt="雇用保険被保険者番号11桁（被保険者証・離職票に記載）。ハイフン無し。前職が無い方は『なし』、不明なときは『後日提出』を選択。" type="list" errorStyle="stop">
      <formula1>m_雇保番号状態</formula1>
    </dataValidation>
    <dataValidation sqref="G8:G58" showDropDown="0" showInputMessage="1" showErrorMessage="1" allowBlank="1" errorTitle="入力エラー" error="桁数を確認してください。" promptTitle="入力のヒント" prompt="ハイフン有無どちらでも可（例 930-0001 / 9300001）。" type="textLength" errorStyle="warning" operator="between">
      <formula1>7</formula1>
      <formula2>8</formula2>
    </dataValidation>
    <dataValidation sqref="H8:H58" showDropDown="0" showInputMessage="1" showErrorMessage="1" allowBlank="1" promptTitle="入力のヒント" prompt="一覧から選択。" type="list" errorStyle="stop">
      <formula1>m_都道府県</formula1>
    </dataValidation>
    <dataValidation sqref="L8:L58" showDropDown="0" showInputMessage="1" showErrorMessage="1" allowBlank="1" promptTitle="入力のヒント" prompt="産前産後休業／育児休業／出生時育児休業（産後パパ育休）／産休＋育休 の4つから選択。&#10;産後パパ育休を取る場合は『出生時育休 取得日数』もご記入ください。" type="list" errorStyle="stop">
      <formula1>m_申出区分</formula1>
    </dataValidation>
    <dataValidation sqref="M8:M58" showDropDown="0" showInputMessage="1" showErrorMessage="1" allowBlank="1" promptTitle="入力のヒント" prompt="西暦 YYYY/MM/DD（例 2026/7/1）。" type="whole" errorStyle="warning" operator="between">
      <formula1>1</formula1>
      <formula2>99999999</formula2>
    </dataValidation>
    <dataValidation sqref="N8:N58" showDropDown="0" showInputMessage="1" showErrorMessage="1" allowBlank="1" promptTitle="入力のヒント" prompt="西暦 YYYY/MM/DD（例 2026/7/1）。" type="whole" errorStyle="warning" operator="between">
      <formula1>1</formula1>
      <formula2>99999999</formula2>
    </dataValidation>
    <dataValidation sqref="O8:O58" showDropDown="0" showInputMessage="1" showErrorMessage="1" allowBlank="1" promptTitle="入力のヒント" prompt="多胎（双子以上）か。産前休業期間が変わります。" type="list" errorStyle="stop">
      <formula1>m_ありなし</formula1>
    </dataValidation>
    <dataValidation sqref="P8:P58" showDropDown="0" showInputMessage="1" showErrorMessage="1" allowBlank="1" promptTitle="入力のヒント" prompt="西暦 YYYY/MM/DD（例 2026/7/1）。" type="whole" errorStyle="warning" operator="between">
      <formula1>1</formula1>
      <formula2>99999999</formula2>
    </dataValidation>
    <dataValidation sqref="Q8:Q58" showDropDown="0" showInputMessage="1" showErrorMessage="1" allowBlank="1" promptTitle="入力のヒント" prompt="西暦 YYYY/MM/DD（例 2026/7/1）。" type="whole" errorStyle="warning" operator="between">
      <formula1>1</formula1>
      <formula2>99999999</formula2>
    </dataValidation>
    <dataValidation sqref="R8:R58" showDropDown="0" showInputMessage="1" showErrorMessage="1" allowBlank="1" promptTitle="入力のヒント" prompt="西暦 YYYY/MM/DD（例 2026/7/1）。" type="whole" errorStyle="warning" operator="between">
      <formula1>1</formula1>
      <formula2>99999999</formula2>
    </dataValidation>
    <dataValidation sqref="S8:S58" showDropDown="0" showInputMessage="1" showErrorMessage="1" allowBlank="1" promptTitle="入力のヒント" prompt="西暦 YYYY/MM/DD（例 2026/7/1）。" type="whole" errorStyle="warning" operator="between">
      <formula1>1</formula1>
      <formula2>99999999</formula2>
    </dataValidation>
    <dataValidation sqref="T8:T58" showDropDown="0" showInputMessage="1" showErrorMessage="1" allowBlank="1" promptTitle="入力のヒント" prompt="育児休業は2回まで分割取得できます（2022/10〜）。2回目の申出はこちらを選択。" type="list" errorStyle="stop">
      <formula1>m_分割取得</formula1>
    </dataValidation>
    <dataValidation sqref="U8:U58" showDropDown="0" showInputMessage="1" showErrorMessage="1" allowBlank="1" promptTitle="入力のヒント" prompt="出生時育児休業（産後パパ育休）を取得する場合の日数。子の出生後8週以内に最大28日。" type="whole" errorStyle="stop" operator="between">
      <formula1>0</formula1>
      <formula2>28</formula2>
    </dataValidation>
    <dataValidation sqref="W8:W58" showDropDown="0" showInputMessage="1" showErrorMessage="1" allowBlank="1" promptTitle="入力のヒント" prompt="西暦 YYYY/MM/DD（例 2026/7/1）。" type="whole" errorStyle="warning" operator="between">
      <formula1>1</formula1>
      <formula2>99999999</formula2>
    </dataValidation>
    <dataValidation sqref="X8:X58" showDropDown="0" showInputMessage="1" showErrorMessage="1" allowBlank="1" promptTitle="入力のヒント" prompt="実子／養子 等。" type="list" errorStyle="stop">
      <formula1>m_対象児続柄</formula1>
    </dataValidation>
    <dataValidation sqref="Y8:Y58" showDropDown="0" showInputMessage="1" showErrorMessage="1" allowBlank="1" promptTitle="入力のヒント" prompt="育児休業給付の賃金月額証明用。直近の完全賃金月の総支給額（参考）。" type="whole" errorStyle="stop" operator="between">
      <formula1>0</formula1>
      <formula2>100000000</formula2>
    </dataValidation>
    <dataValidation sqref="Z8:Z58" showDropDown="0" showInputMessage="1" showErrorMessage="1" allowBlank="1" promptTitle="入力のヒント" prompt="休業中に就業予定があるか（給付の支給調整に影響）。" type="list" errorStyle="stop">
      <formula1>m_ありなし</formula1>
    </dataValidation>
    <dataValidation sqref="AA8:AA58" showDropDown="0" showInputMessage="1" showErrorMessage="1" allowBlank="1" promptTitle="入力のヒント" prompt="両親ともに育休を取得し延長する制度の利用有無。" type="list" errorStyle="stop">
      <formula1>m_ありなし</formula1>
    </dataValidation>
    <dataValidation sqref="AB8:AB58" showDropDown="0" showInputMessage="1" showErrorMessage="1" allowBlank="1" promptTitle="入力のヒント" prompt="産前分だけ／産後分だけ／産前産後をまとめて から選択。" type="list" errorStyle="stop">
      <formula1>m_出手期間</formula1>
    </dataValidation>
    <dataValidation sqref="AC8:AC58" showDropDown="0" showInputMessage="1" showErrorMessage="1" allowBlank="1" promptTitle="入力のヒント" prompt="産前産後休業の期間に給与を支給したか。出産手当金は報酬と調整されます。" type="list" errorStyle="stop">
      <formula1>m_休業中給与</formula1>
    </dataValidation>
    <dataValidation sqref="AD8:AD58" showDropDown="0" showInputMessage="1" showErrorMessage="1" allowBlank="1" promptTitle="入力のヒント" prompt="『一部支払った』ときの支給額。" type="whole" errorStyle="stop" operator="between">
      <formula1>0</formula1>
      <formula2>100000000</formula2>
    </dataValidation>
    <dataValidation sqref="AF8:AF58" showDropDown="0" showInputMessage="1" showErrorMessage="1" allowBlank="1" promptTitle="入力のヒント" prompt="産前産後休業の期間に出勤した日があるか。勤怠に残らないことがあるためうかがっています。" type="list" errorStyle="stop">
      <formula1>m_休業中出勤</formula1>
    </dataValidation>
    <dataValidation sqref="AH8:AH58" showDropDown="0" showInputMessage="1" showErrorMessage="1" allowBlank="1" promptTitle="入力のヒント" prompt="支給開始日以前12か月の間に事業所が変わったか。加入状況等申告書の要否が分かれます。" type="list" errorStyle="stop">
      <formula1>m_事業所変更</formula1>
    </dataValidation>
    <dataValidation sqref="AJ8:AJ58" showDropDown="0" showInputMessage="1" showErrorMessage="1" allowBlank="1" promptTitle="入力のヒント" prompt="公金受取口座を使うか、本人名義の口座を指定するか。通帳の写しの要否が変わります。" type="list" errorStyle="stop">
      <formula1>m_振込先</formula1>
    </dataValidation>
    <dataValidation sqref="AK8:AK58" showDropDown="0" showInputMessage="1" showErrorMessage="1" allowBlank="1" promptTitle="入力のヒント" prompt="母親／父親／養子を養育する方。給付の対象期間と確認書類が変わります。" type="list" errorStyle="stop">
      <formula1>m_育休対象者</formula1>
    </dataValidation>
    <dataValidation sqref="AL8:AL58" showDropDown="0" showInputMessage="1" showErrorMessage="1" allowBlank="1" promptTitle="入力のヒント" prompt="出生日の翌日時点の状況を選択。支給申請書の『配偶者の状態』欄と確認書類が分かれます。" type="list" errorStyle="stop">
      <formula1>m_配偶者状況</formula1>
    </dataValidation>
    <dataValidation sqref="AM8:AM58" showDropDown="0" showInputMessage="1" showErrorMessage="1" allowBlank="1" promptTitle="入力のヒント" prompt="『配偶者も14日以上の育児休業を取得』のときにご記入ください。民間なら被保険者番号の記載で足り、公務員は通知書の写しが要ります。" type="list" errorStyle="stop">
      <formula1>m_配偶者勤務先</formula1>
    </dataValidation>
    <dataValidation sqref="AO8:AO58" showDropDown="0" showInputMessage="1" showErrorMessage="1" allowBlank="1" promptTitle="入力のヒント" prompt="前職の被保険者期間の通算と、離職票-2の要否の判断に使います。" type="list" errorStyle="stop">
      <formula1>m_入社2年</formula1>
    </dataValidation>
  </dataValidations>
  <pageMargins left="0.75" right="0.75" top="1" bottom="1" header="0.5" footer="0.5"/>
  <pageSetup orientation="landscape" paperSize="9" fitToHeight="0" fitToWidth="1"/>
  <legacyDrawing xmlns:r="http://schemas.openxmlformats.org/officeDocument/2006/relationships" r:id="anysvml"/>
</worksheet>
</file>

<file path=xl/worksheets/sheet4.xml><?xml version="1.0" encoding="utf-8"?>
<worksheet xmlns="http://schemas.openxmlformats.org/spreadsheetml/2006/main">
  <sheetPr>
    <tabColor rgb="00808080"/>
    <outlinePr summaryBelow="1" summaryRight="1"/>
    <pageSetUpPr/>
  </sheetPr>
  <dimension ref="A1:R48"/>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s>
  <sheetData>
    <row r="1" ht="37" customHeight="1">
      <c r="A1" s="49" t="inlineStr">
        <is>
          <t>性別</t>
        </is>
      </c>
      <c r="B1" s="49" t="inlineStr">
        <is>
          <t>あり/なし</t>
        </is>
      </c>
      <c r="C1" s="49" t="inlineStr">
        <is>
          <t>都道府県</t>
        </is>
      </c>
      <c r="D1" s="49" t="inlineStr">
        <is>
          <t>番号提出状態</t>
        </is>
      </c>
      <c r="E1" s="49" t="inlineStr">
        <is>
          <t>後日提出</t>
        </is>
      </c>
      <c r="F1" s="49" t="inlineStr">
        <is>
          <t>雇保番号状態</t>
        </is>
      </c>
      <c r="G1" s="49" t="inlineStr">
        <is>
          <t>申出区分</t>
        </is>
      </c>
      <c r="H1" s="49" t="inlineStr">
        <is>
          <t>分割取得</t>
        </is>
      </c>
      <c r="I1" s="49" t="inlineStr">
        <is>
          <t>対象児続柄</t>
        </is>
      </c>
      <c r="J1" s="49" t="inlineStr">
        <is>
          <t>出産手当金の申請期間</t>
        </is>
      </c>
      <c r="K1" s="49" t="inlineStr">
        <is>
          <t>休業中の給与</t>
        </is>
      </c>
      <c r="L1" s="49" t="inlineStr">
        <is>
          <t>休業中の出勤</t>
        </is>
      </c>
      <c r="M1" s="49" t="inlineStr">
        <is>
          <t>事業所変更</t>
        </is>
      </c>
      <c r="N1" s="49" t="inlineStr">
        <is>
          <t>振込先</t>
        </is>
      </c>
      <c r="O1" s="49" t="inlineStr">
        <is>
          <t>対象になる方</t>
        </is>
      </c>
      <c r="P1" s="49" t="inlineStr">
        <is>
          <t>配偶者の状況</t>
        </is>
      </c>
      <c r="Q1" s="49" t="inlineStr">
        <is>
          <t>配偶者の勤務先</t>
        </is>
      </c>
      <c r="R1" s="49" t="inlineStr">
        <is>
          <t>入社2年</t>
        </is>
      </c>
    </row>
    <row r="2">
      <c r="A2" s="50" t="inlineStr">
        <is>
          <t>男</t>
        </is>
      </c>
      <c r="B2" s="50" t="inlineStr">
        <is>
          <t>あり</t>
        </is>
      </c>
      <c r="C2" s="50" t="inlineStr">
        <is>
          <t>北海道</t>
        </is>
      </c>
      <c r="D2" s="50" t="inlineStr">
        <is>
          <t>後日提出</t>
        </is>
      </c>
      <c r="E2" s="50" t="inlineStr">
        <is>
          <t>後日提出</t>
        </is>
      </c>
      <c r="F2" s="50" t="inlineStr">
        <is>
          <t>なし</t>
        </is>
      </c>
      <c r="G2" s="50" t="inlineStr">
        <is>
          <t>産前産後休業</t>
        </is>
      </c>
      <c r="H2" s="50" t="inlineStr">
        <is>
          <t>分割なし／1回目</t>
        </is>
      </c>
      <c r="I2" s="50" t="inlineStr">
        <is>
          <t>実子</t>
        </is>
      </c>
      <c r="J2" s="50" t="inlineStr">
        <is>
          <t>産前分だけ</t>
        </is>
      </c>
      <c r="K2" s="50" t="inlineStr">
        <is>
          <t>支払っていない</t>
        </is>
      </c>
      <c r="L2" s="50" t="inlineStr">
        <is>
          <t>なかった</t>
        </is>
      </c>
      <c r="M2" s="50" t="inlineStr">
        <is>
          <t>ない</t>
        </is>
      </c>
      <c r="N2" s="50" t="inlineStr">
        <is>
          <t>マイナポータルの公金受取口座を使う</t>
        </is>
      </c>
      <c r="O2" s="50" t="inlineStr">
        <is>
          <t>母親</t>
        </is>
      </c>
      <c r="P2" s="50" t="inlineStr">
        <is>
          <t>配偶者も14日以上の育児休業を取得</t>
        </is>
      </c>
      <c r="Q2" s="50" t="inlineStr">
        <is>
          <t>民間（雇用保険の被保険者）</t>
        </is>
      </c>
      <c r="R2" s="50" t="inlineStr">
        <is>
          <t>2年以上</t>
        </is>
      </c>
    </row>
    <row r="3">
      <c r="A3" s="50" t="inlineStr">
        <is>
          <t>女</t>
        </is>
      </c>
      <c r="B3" s="50" t="inlineStr">
        <is>
          <t>なし</t>
        </is>
      </c>
      <c r="C3" s="50" t="inlineStr">
        <is>
          <t>青森県</t>
        </is>
      </c>
      <c r="D3" s="50" t="inlineStr">
        <is>
          <t>別経路提出</t>
        </is>
      </c>
      <c r="F3" s="50" t="inlineStr">
        <is>
          <t>後日提出</t>
        </is>
      </c>
      <c r="G3" s="50" t="inlineStr">
        <is>
          <t>育児休業</t>
        </is>
      </c>
      <c r="H3" s="50" t="inlineStr">
        <is>
          <t>2回目（分割取得）</t>
        </is>
      </c>
      <c r="I3" s="50" t="inlineStr">
        <is>
          <t>養子</t>
        </is>
      </c>
      <c r="J3" s="50" t="inlineStr">
        <is>
          <t>産後分だけ</t>
        </is>
      </c>
      <c r="K3" s="50" t="inlineStr">
        <is>
          <t>一部支払った</t>
        </is>
      </c>
      <c r="L3" s="50" t="inlineStr">
        <is>
          <t>あった</t>
        </is>
      </c>
      <c r="M3" s="50" t="inlineStr">
        <is>
          <t>ある</t>
        </is>
      </c>
      <c r="N3" s="50" t="inlineStr">
        <is>
          <t>本人名義の口座を指定する</t>
        </is>
      </c>
      <c r="O3" s="50" t="inlineStr">
        <is>
          <t>父親</t>
        </is>
      </c>
      <c r="P3" s="50" t="inlineStr">
        <is>
          <t>配偶者がいない</t>
        </is>
      </c>
      <c r="Q3" s="50" t="inlineStr">
        <is>
          <t>公務員</t>
        </is>
      </c>
      <c r="R3" s="50" t="inlineStr">
        <is>
          <t>2年未満</t>
        </is>
      </c>
    </row>
    <row r="4">
      <c r="C4" s="50" t="inlineStr">
        <is>
          <t>岩手県</t>
        </is>
      </c>
      <c r="G4" s="50" t="inlineStr">
        <is>
          <t>出生時育児休業（産後パパ育休）</t>
        </is>
      </c>
      <c r="I4" s="50" t="inlineStr">
        <is>
          <t>その他</t>
        </is>
      </c>
      <c r="J4" s="50" t="inlineStr">
        <is>
          <t>産前産後をまとめて</t>
        </is>
      </c>
      <c r="M4" s="50" t="inlineStr">
        <is>
          <t>分からない</t>
        </is>
      </c>
      <c r="O4" s="50" t="inlineStr">
        <is>
          <t>養子を養育する方</t>
        </is>
      </c>
      <c r="P4" s="50" t="inlineStr">
        <is>
          <t>配偶者が無業者</t>
        </is>
      </c>
      <c r="Q4" s="50" t="inlineStr">
        <is>
          <t>該当しない</t>
        </is>
      </c>
    </row>
    <row r="5">
      <c r="C5" s="50" t="inlineStr">
        <is>
          <t>宮城県</t>
        </is>
      </c>
      <c r="G5" s="50" t="inlineStr">
        <is>
          <t>産休＋育休</t>
        </is>
      </c>
      <c r="P5" s="50" t="inlineStr">
        <is>
          <t>配偶者が自営業・フリーランス等</t>
        </is>
      </c>
    </row>
    <row r="6">
      <c r="C6" s="50" t="inlineStr">
        <is>
          <t>秋田県</t>
        </is>
      </c>
      <c r="P6" s="50" t="inlineStr">
        <is>
          <t>配偶者が産後休業中</t>
        </is>
      </c>
    </row>
    <row r="7">
      <c r="C7" s="50" t="inlineStr">
        <is>
          <t>山形県</t>
        </is>
      </c>
      <c r="P7" s="50" t="inlineStr">
        <is>
          <t>配偶者が子と法律上の親子関係がない</t>
        </is>
      </c>
    </row>
    <row r="8">
      <c r="C8" s="50" t="inlineStr">
        <is>
          <t>福島県</t>
        </is>
      </c>
      <c r="P8" s="50" t="inlineStr">
        <is>
          <t>配偶者から暴力を受け別居中</t>
        </is>
      </c>
    </row>
    <row r="9">
      <c r="C9" s="50" t="inlineStr">
        <is>
          <t>茨城県</t>
        </is>
      </c>
      <c r="P9" s="50" t="inlineStr">
        <is>
          <t>配偶者が行方不明</t>
        </is>
      </c>
    </row>
    <row r="10">
      <c r="C10" s="50" t="inlineStr">
        <is>
          <t>栃木県</t>
        </is>
      </c>
      <c r="P10" s="50" t="inlineStr">
        <is>
          <t>上記以外の理由で育休を取得できない</t>
        </is>
      </c>
    </row>
    <row r="11">
      <c r="C11" s="50" t="inlineStr">
        <is>
          <t>群馬県</t>
        </is>
      </c>
    </row>
    <row r="12">
      <c r="C12" s="50" t="inlineStr">
        <is>
          <t>埼玉県</t>
        </is>
      </c>
    </row>
    <row r="13">
      <c r="C13" s="50" t="inlineStr">
        <is>
          <t>千葉県</t>
        </is>
      </c>
    </row>
    <row r="14">
      <c r="C14" s="50" t="inlineStr">
        <is>
          <t>東京都</t>
        </is>
      </c>
    </row>
    <row r="15">
      <c r="C15" s="50" t="inlineStr">
        <is>
          <t>神奈川県</t>
        </is>
      </c>
    </row>
    <row r="16">
      <c r="C16" s="50" t="inlineStr">
        <is>
          <t>新潟県</t>
        </is>
      </c>
    </row>
    <row r="17">
      <c r="C17" s="50" t="inlineStr">
        <is>
          <t>富山県</t>
        </is>
      </c>
    </row>
    <row r="18">
      <c r="C18" s="50" t="inlineStr">
        <is>
          <t>石川県</t>
        </is>
      </c>
    </row>
    <row r="19">
      <c r="C19" s="50" t="inlineStr">
        <is>
          <t>福井県</t>
        </is>
      </c>
    </row>
    <row r="20">
      <c r="C20" s="50" t="inlineStr">
        <is>
          <t>山梨県</t>
        </is>
      </c>
    </row>
    <row r="21">
      <c r="C21" s="50" t="inlineStr">
        <is>
          <t>長野県</t>
        </is>
      </c>
    </row>
    <row r="22">
      <c r="C22" s="50" t="inlineStr">
        <is>
          <t>岐阜県</t>
        </is>
      </c>
    </row>
    <row r="23">
      <c r="C23" s="50" t="inlineStr">
        <is>
          <t>静岡県</t>
        </is>
      </c>
    </row>
    <row r="24">
      <c r="C24" s="50" t="inlineStr">
        <is>
          <t>愛知県</t>
        </is>
      </c>
    </row>
    <row r="25">
      <c r="C25" s="50" t="inlineStr">
        <is>
          <t>三重県</t>
        </is>
      </c>
    </row>
    <row r="26">
      <c r="C26" s="50" t="inlineStr">
        <is>
          <t>滋賀県</t>
        </is>
      </c>
    </row>
    <row r="27">
      <c r="C27" s="50" t="inlineStr">
        <is>
          <t>京都府</t>
        </is>
      </c>
    </row>
    <row r="28">
      <c r="C28" s="50" t="inlineStr">
        <is>
          <t>大阪府</t>
        </is>
      </c>
    </row>
    <row r="29">
      <c r="C29" s="50" t="inlineStr">
        <is>
          <t>兵庫県</t>
        </is>
      </c>
    </row>
    <row r="30">
      <c r="C30" s="50" t="inlineStr">
        <is>
          <t>奈良県</t>
        </is>
      </c>
    </row>
    <row r="31">
      <c r="C31" s="50" t="inlineStr">
        <is>
          <t>和歌山県</t>
        </is>
      </c>
    </row>
    <row r="32">
      <c r="C32" s="50" t="inlineStr">
        <is>
          <t>鳥取県</t>
        </is>
      </c>
    </row>
    <row r="33">
      <c r="C33" s="50" t="inlineStr">
        <is>
          <t>島根県</t>
        </is>
      </c>
    </row>
    <row r="34">
      <c r="C34" s="50" t="inlineStr">
        <is>
          <t>岡山県</t>
        </is>
      </c>
    </row>
    <row r="35">
      <c r="C35" s="50" t="inlineStr">
        <is>
          <t>広島県</t>
        </is>
      </c>
    </row>
    <row r="36">
      <c r="C36" s="50" t="inlineStr">
        <is>
          <t>山口県</t>
        </is>
      </c>
    </row>
    <row r="37">
      <c r="C37" s="50" t="inlineStr">
        <is>
          <t>徳島県</t>
        </is>
      </c>
    </row>
    <row r="38">
      <c r="C38" s="50" t="inlineStr">
        <is>
          <t>香川県</t>
        </is>
      </c>
    </row>
    <row r="39">
      <c r="C39" s="50" t="inlineStr">
        <is>
          <t>愛媛県</t>
        </is>
      </c>
    </row>
    <row r="40">
      <c r="C40" s="50" t="inlineStr">
        <is>
          <t>高知県</t>
        </is>
      </c>
    </row>
    <row r="41">
      <c r="C41" s="50" t="inlineStr">
        <is>
          <t>福岡県</t>
        </is>
      </c>
    </row>
    <row r="42">
      <c r="C42" s="50" t="inlineStr">
        <is>
          <t>佐賀県</t>
        </is>
      </c>
    </row>
    <row r="43">
      <c r="C43" s="50" t="inlineStr">
        <is>
          <t>長崎県</t>
        </is>
      </c>
    </row>
    <row r="44">
      <c r="C44" s="50" t="inlineStr">
        <is>
          <t>熊本県</t>
        </is>
      </c>
    </row>
    <row r="45">
      <c r="C45" s="50" t="inlineStr">
        <is>
          <t>大分県</t>
        </is>
      </c>
    </row>
    <row r="46">
      <c r="C46" s="50" t="inlineStr">
        <is>
          <t>宮崎県</t>
        </is>
      </c>
    </row>
    <row r="47">
      <c r="C47" s="50" t="inlineStr">
        <is>
          <t>鹿児島県</t>
        </is>
      </c>
    </row>
    <row r="48">
      <c r="C48" s="50" t="inlineStr">
        <is>
          <t>沖縄県</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sheetData>
    <row r="1">
      <c r="A1" s="50" t="inlineStr">
        <is>
          <t>データシート</t>
        </is>
      </c>
      <c r="B1" s="50" t="inlineStr">
        <is>
          <t>産育休 情報</t>
        </is>
      </c>
      <c r="C1" s="50" t="n"/>
      <c r="D1" s="50" t="n"/>
    </row>
    <row r="2">
      <c r="A2" s="50" t="inlineStr">
        <is>
          <t>開始行</t>
        </is>
      </c>
      <c r="B2" s="50" t="n">
        <v>9</v>
      </c>
      <c r="C2" s="50" t="n"/>
      <c r="D2" s="50" t="n"/>
    </row>
    <row r="3">
      <c r="A3" s="50" t="inlineStr">
        <is>
          <t>終了行</t>
        </is>
      </c>
      <c r="B3" s="50" t="n">
        <v>58</v>
      </c>
      <c r="C3" s="50" t="n"/>
      <c r="D3" s="50" t="n"/>
    </row>
    <row r="4">
      <c r="A4" s="50" t="inlineStr">
        <is>
          <t>見出し行</t>
        </is>
      </c>
      <c r="B4" s="50" t="n">
        <v>7</v>
      </c>
      <c r="C4" s="50" t="n"/>
      <c r="D4" s="50" t="n"/>
    </row>
    <row r="5">
      <c r="A5" s="50" t="inlineStr">
        <is>
          <t>A</t>
        </is>
      </c>
      <c r="B5" s="50" t="inlineStr">
        <is>
          <t>kanji</t>
        </is>
      </c>
      <c r="C5" s="50" t="inlineStr">
        <is>
          <t>氏名（漢字）</t>
        </is>
      </c>
      <c r="D5" s="50" t="n">
        <v>0</v>
      </c>
    </row>
    <row r="6">
      <c r="A6" s="50" t="inlineStr">
        <is>
          <t>B</t>
        </is>
      </c>
      <c r="B6" s="50" t="inlineStr">
        <is>
          <t>kana</t>
        </is>
      </c>
      <c r="C6" s="50" t="inlineStr">
        <is>
          <t>氏名（フリガナ）</t>
        </is>
      </c>
      <c r="D6" s="50" t="n">
        <v>25</v>
      </c>
    </row>
    <row r="7">
      <c r="A7" s="50" t="inlineStr">
        <is>
          <t>C</t>
        </is>
      </c>
      <c r="B7" s="50" t="inlineStr">
        <is>
          <t>date</t>
        </is>
      </c>
      <c r="C7" s="50" t="inlineStr">
        <is>
          <t>生年月日</t>
        </is>
      </c>
      <c r="D7" s="50" t="n">
        <v>0</v>
      </c>
    </row>
    <row r="8">
      <c r="A8" s="50" t="inlineStr">
        <is>
          <t>D</t>
        </is>
      </c>
      <c r="B8" s="50" t="inlineStr">
        <is>
          <t>num</t>
        </is>
      </c>
      <c r="C8" s="50" t="inlineStr">
        <is>
          <t>マイナンバー(12桁)</t>
        </is>
      </c>
      <c r="D8" s="50" t="n">
        <v>0</v>
      </c>
    </row>
    <row r="9">
      <c r="A9" s="50" t="inlineStr">
        <is>
          <t>E</t>
        </is>
      </c>
      <c r="B9" s="50" t="inlineStr">
        <is>
          <t>numh</t>
        </is>
      </c>
      <c r="C9" s="50" t="inlineStr">
        <is>
          <t>基礎年金番号(10桁)</t>
        </is>
      </c>
      <c r="D9" s="50" t="n">
        <v>0</v>
      </c>
    </row>
    <row r="10">
      <c r="A10" s="50" t="inlineStr">
        <is>
          <t>F</t>
        </is>
      </c>
      <c r="B10" s="50" t="inlineStr">
        <is>
          <t>numh</t>
        </is>
      </c>
      <c r="C10" s="50" t="inlineStr">
        <is>
          <t>雇用保険被保険者番号(11桁)</t>
        </is>
      </c>
      <c r="D10" s="50" t="n">
        <v>0</v>
      </c>
    </row>
    <row r="11">
      <c r="A11" s="50" t="inlineStr">
        <is>
          <t>G</t>
        </is>
      </c>
      <c r="B11" s="50" t="inlineStr">
        <is>
          <t>numh</t>
        </is>
      </c>
      <c r="C11" s="50" t="inlineStr">
        <is>
          <t>郵便番号</t>
        </is>
      </c>
      <c r="D11" s="50" t="n">
        <v>0</v>
      </c>
    </row>
    <row r="12">
      <c r="A12" s="50" t="inlineStr">
        <is>
          <t>I</t>
        </is>
      </c>
      <c r="B12" s="50" t="inlineStr">
        <is>
          <t>zen</t>
        </is>
      </c>
      <c r="C12" s="50" t="inlineStr">
        <is>
          <t>市区町村以下</t>
        </is>
      </c>
      <c r="D12" s="50" t="n">
        <v>0</v>
      </c>
    </row>
    <row r="13">
      <c r="A13" s="50" t="inlineStr">
        <is>
          <t>J</t>
        </is>
      </c>
      <c r="B13" s="50" t="inlineStr">
        <is>
          <t>zen</t>
        </is>
      </c>
      <c r="C13" s="50" t="inlineStr">
        <is>
          <t>建物名・部屋番号</t>
        </is>
      </c>
      <c r="D13" s="50" t="n">
        <v>0</v>
      </c>
    </row>
    <row r="14">
      <c r="A14" s="50" t="inlineStr">
        <is>
          <t>K</t>
        </is>
      </c>
      <c r="B14" s="50" t="inlineStr">
        <is>
          <t>numh</t>
        </is>
      </c>
      <c r="C14" s="50" t="inlineStr">
        <is>
          <t>電話番号</t>
        </is>
      </c>
      <c r="D14" s="50" t="n">
        <v>0</v>
      </c>
    </row>
    <row r="15">
      <c r="A15" s="50" t="inlineStr">
        <is>
          <t>M</t>
        </is>
      </c>
      <c r="B15" s="50" t="inlineStr">
        <is>
          <t>date</t>
        </is>
      </c>
      <c r="C15" s="50" t="inlineStr">
        <is>
          <t>出産予定日</t>
        </is>
      </c>
      <c r="D15" s="50" t="n">
        <v>0</v>
      </c>
    </row>
    <row r="16">
      <c r="A16" s="50" t="inlineStr">
        <is>
          <t>N</t>
        </is>
      </c>
      <c r="B16" s="50" t="inlineStr">
        <is>
          <t>date</t>
        </is>
      </c>
      <c r="C16" s="50" t="inlineStr">
        <is>
          <t>出産日（実績）</t>
        </is>
      </c>
      <c r="D16" s="50" t="n">
        <v>0</v>
      </c>
    </row>
    <row r="17">
      <c r="A17" s="50" t="inlineStr">
        <is>
          <t>P</t>
        </is>
      </c>
      <c r="B17" s="50" t="inlineStr">
        <is>
          <t>date</t>
        </is>
      </c>
      <c r="C17" s="50" t="inlineStr">
        <is>
          <t>産前産後 休業開始日</t>
        </is>
      </c>
      <c r="D17" s="50" t="n">
        <v>0</v>
      </c>
    </row>
    <row r="18">
      <c r="A18" s="50" t="inlineStr">
        <is>
          <t>Q</t>
        </is>
      </c>
      <c r="B18" s="50" t="inlineStr">
        <is>
          <t>date</t>
        </is>
      </c>
      <c r="C18" s="50" t="inlineStr">
        <is>
          <t>産前産後 休業終了日</t>
        </is>
      </c>
      <c r="D18" s="50" t="n">
        <v>0</v>
      </c>
    </row>
    <row r="19">
      <c r="A19" s="50" t="inlineStr">
        <is>
          <t>R</t>
        </is>
      </c>
      <c r="B19" s="50" t="inlineStr">
        <is>
          <t>date</t>
        </is>
      </c>
      <c r="C19" s="50" t="inlineStr">
        <is>
          <t>育児休業 開始日</t>
        </is>
      </c>
      <c r="D19" s="50" t="n">
        <v>0</v>
      </c>
    </row>
    <row r="20">
      <c r="A20" s="50" t="inlineStr">
        <is>
          <t>S</t>
        </is>
      </c>
      <c r="B20" s="50" t="inlineStr">
        <is>
          <t>date</t>
        </is>
      </c>
      <c r="C20" s="50" t="inlineStr">
        <is>
          <t>育児休業 終了予定日</t>
        </is>
      </c>
      <c r="D20" s="50" t="n">
        <v>0</v>
      </c>
    </row>
    <row r="21">
      <c r="A21" s="50" t="inlineStr">
        <is>
          <t>V</t>
        </is>
      </c>
      <c r="B21" s="50" t="inlineStr">
        <is>
          <t>kanji</t>
        </is>
      </c>
      <c r="C21" s="50" t="inlineStr">
        <is>
          <t>対象児 氏名</t>
        </is>
      </c>
      <c r="D21" s="50" t="n">
        <v>0</v>
      </c>
    </row>
    <row r="22">
      <c r="A22" s="50" t="inlineStr">
        <is>
          <t>W</t>
        </is>
      </c>
      <c r="B22" s="50" t="inlineStr">
        <is>
          <t>date</t>
        </is>
      </c>
      <c r="C22" s="50" t="inlineStr">
        <is>
          <t>対象児 生年月日</t>
        </is>
      </c>
      <c r="D22" s="50" t="n">
        <v>0</v>
      </c>
    </row>
    <row r="23">
      <c r="A23" s="50" t="inlineStr">
        <is>
          <t>AI</t>
        </is>
      </c>
      <c r="B23" s="50" t="inlineStr">
        <is>
          <t>zen</t>
        </is>
      </c>
      <c r="C23" s="50" t="inlineStr">
        <is>
          <t>前の事業所名・所在地・在籍期間</t>
        </is>
      </c>
      <c r="D23" s="50" t="n">
        <v>0</v>
      </c>
    </row>
    <row r="24">
      <c r="A24" s="50" t="inlineStr">
        <is>
          <t>AN</t>
        </is>
      </c>
      <c r="B24" s="50" t="inlineStr">
        <is>
          <t>numh</t>
        </is>
      </c>
      <c r="C24" s="50" t="inlineStr">
        <is>
          <t>配偶者の雇用保険被保険者番号(11桁)</t>
        </is>
      </c>
      <c r="D24" s="5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2026-09-10T22:22:04Z</dcterms:created>
  <dcterms:modified xmlns:dcterms="http://purl.org/dc/terms/" xmlns:xsi="http://www.w3.org/2001/XMLSchema-instance" xsi:type="dcterms:W3CDTF">2026-09-10T22:22:04Z</dcterms:modified>
</cp:coreProperties>
</file>