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kondouakihiro/Desktop/11_🧩 事務所サービス/01_スポット業務/書式/受領フォーム/"/>
    </mc:Choice>
  </mc:AlternateContent>
  <xr:revisionPtr revIDLastSave="0" documentId="13_ncr:1_{2BE5545D-EA73-1044-8058-AD976112AB5D}" xr6:coauthVersionLast="47" xr6:coauthVersionMax="47" xr10:uidLastSave="{00000000-0000-0000-0000-000000000000}"/>
  <bookViews>
    <workbookView xWindow="1080" yWindow="600" windowWidth="30240" windowHeight="19640" xr2:uid="{00000000-000D-0000-FFFF-FFFF00000000}"/>
  </bookViews>
  <sheets>
    <sheet name="はじめにお読みください（記入要領）" sheetId="1" r:id="rId1"/>
    <sheet name="提出チェック・添付・返送" sheetId="2" r:id="rId2"/>
    <sheet name="⓪ 事業所設定" sheetId="3" r:id="rId3"/>
    <sheet name="① 従業員情報（本人）" sheetId="4" r:id="rId4"/>
    <sheet name="② 被扶養者情報" sheetId="5" r:id="rId5"/>
    <sheet name="_マスタ（非表示）" sheetId="6" state="hidden" r:id="rId6"/>
    <sheet name="_制御（非表示）" sheetId="7" state="hidden" r:id="rId7"/>
    <sheet name="_制御②（非表示）" sheetId="8" state="hidden" r:id="rId8"/>
  </sheets>
  <definedNames>
    <definedName name="m_ありなし">'_マスタ（非表示）'!$G$2:$G$3</definedName>
    <definedName name="m_なしあり">'_マスタ（非表示）'!$H$2:$H$3</definedName>
    <definedName name="m_学生区分">'_マスタ（非表示）'!$I$2:$I$4</definedName>
    <definedName name="m_健保種類">'_マスタ（非表示）'!$K$2:$K$3</definedName>
    <definedName name="m_現物給与種類">'_マスタ（非表示）'!$T$2:$T$6</definedName>
    <definedName name="m_雇用形態">'_マスタ（非表示）'!$B$2:$B$7</definedName>
    <definedName name="m_後日提出">'_マスタ（非表示）'!$E$2:$E$2</definedName>
    <definedName name="m_更新見込み">'_マスタ（非表示）'!$D$2:$D$4</definedName>
    <definedName name="m_国籍">'_マスタ（非表示）'!$Q$2:$Q$3</definedName>
    <definedName name="m_資格確認書">'_マスタ（非表示）'!$M$2:$M$4</definedName>
    <definedName name="m_職種">'_マスタ（非表示）'!$S$2:$S$13</definedName>
    <definedName name="m_性別">'_マスタ（非表示）'!$A$2:$A$3</definedName>
    <definedName name="m_前職雇保">'_マスタ（非表示）'!$J$2:$J$4</definedName>
    <definedName name="m_続柄">'_マスタ（非表示）'!$N$2:$N$8</definedName>
    <definedName name="m_第3号">'_マスタ（非表示）'!$P$2:$P$3</definedName>
    <definedName name="m_賃金形態">'_マスタ（非表示）'!$C$2:$C$6</definedName>
    <definedName name="m_都道府県">'_マスタ（非表示）'!$R$2:$R$48</definedName>
    <definedName name="m_同居別居">'_マスタ（非表示）'!$O$2:$O$3</definedName>
    <definedName name="m_任意申出">'_マスタ（非表示）'!$L$2:$L$3</definedName>
    <definedName name="m_番号提出状態">'_マスタ（非表示）'!$F$2:$F$3</definedName>
    <definedName name="_xlnm.Print_Titles" localSheetId="2">'⓪ 事業所設定'!$1:$5</definedName>
    <definedName name="_xlnm.Print_Titles" localSheetId="3">'① 従業員情報（本人）'!$1:$7</definedName>
    <definedName name="_xlnm.Print_Titles" localSheetId="4">'② 被扶養者情報'!$1:$6</definedName>
    <definedName name="企業規模区分">'⓪ 事業所設定'!$C$10</definedName>
    <definedName name="厚年被保険者数">'⓪ 事業所設定'!$C$9</definedName>
    <definedName name="正社員月所定">'⓪ 事業所設定'!$C$14</definedName>
    <definedName name="正社員週所定">'⓪ 事業所設定'!$C$13</definedName>
    <definedName name="短時間適用">'⓪ 事業所設定'!$C$12</definedName>
    <definedName name="判定基準日">'⓪ 事業所設定'!$C$17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7" i="5" l="1"/>
  <c r="O66" i="5"/>
  <c r="O65" i="5"/>
  <c r="O64" i="5"/>
  <c r="O63" i="5"/>
  <c r="O62" i="5"/>
  <c r="O61" i="5"/>
  <c r="O60" i="5"/>
  <c r="O59" i="5"/>
  <c r="O58" i="5"/>
  <c r="O57" i="5"/>
  <c r="O56" i="5"/>
  <c r="O55" i="5"/>
  <c r="O54" i="5"/>
  <c r="O53" i="5"/>
  <c r="O52" i="5"/>
  <c r="O51" i="5"/>
  <c r="O50" i="5"/>
  <c r="O49" i="5"/>
  <c r="O48" i="5"/>
  <c r="O47" i="5"/>
  <c r="O46" i="5"/>
  <c r="O45" i="5"/>
  <c r="O44" i="5"/>
  <c r="O43" i="5"/>
  <c r="O42" i="5"/>
  <c r="O41" i="5"/>
  <c r="O40" i="5"/>
  <c r="O39" i="5"/>
  <c r="O38" i="5"/>
  <c r="O37"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E4" i="5" s="1"/>
  <c r="A4" i="5"/>
  <c r="A5" i="5" s="1"/>
  <c r="AU58" i="4"/>
  <c r="AT58" i="4"/>
  <c r="Z58" i="4"/>
  <c r="Y58" i="4"/>
  <c r="W58" i="4"/>
  <c r="P58" i="4"/>
  <c r="O58" i="4"/>
  <c r="F58" i="4"/>
  <c r="A58" i="4"/>
  <c r="AU57" i="4"/>
  <c r="AT57" i="4"/>
  <c r="Z57" i="4"/>
  <c r="Y57" i="4"/>
  <c r="W57" i="4"/>
  <c r="P57" i="4"/>
  <c r="O57" i="4"/>
  <c r="F57" i="4"/>
  <c r="A57" i="4"/>
  <c r="AU56" i="4"/>
  <c r="AT56" i="4"/>
  <c r="Z56" i="4"/>
  <c r="Y56" i="4"/>
  <c r="W56" i="4"/>
  <c r="P56" i="4"/>
  <c r="O56" i="4"/>
  <c r="F56" i="4"/>
  <c r="A56" i="4"/>
  <c r="AU55" i="4"/>
  <c r="AT55" i="4"/>
  <c r="Z55" i="4"/>
  <c r="Y55" i="4"/>
  <c r="W55" i="4"/>
  <c r="P55" i="4"/>
  <c r="O55" i="4"/>
  <c r="F55" i="4"/>
  <c r="A55" i="4"/>
  <c r="AU54" i="4"/>
  <c r="AT54" i="4"/>
  <c r="Z54" i="4"/>
  <c r="Y54" i="4"/>
  <c r="W54" i="4"/>
  <c r="P54" i="4"/>
  <c r="O54" i="4"/>
  <c r="F54" i="4"/>
  <c r="A54" i="4"/>
  <c r="AU53" i="4"/>
  <c r="AT53" i="4"/>
  <c r="Z53" i="4"/>
  <c r="Y53" i="4"/>
  <c r="W53" i="4"/>
  <c r="P53" i="4"/>
  <c r="O53" i="4"/>
  <c r="F53" i="4"/>
  <c r="A53" i="4"/>
  <c r="AU52" i="4"/>
  <c r="AT52" i="4"/>
  <c r="Z52" i="4"/>
  <c r="Y52" i="4"/>
  <c r="W52" i="4"/>
  <c r="P52" i="4"/>
  <c r="O52" i="4"/>
  <c r="F52" i="4"/>
  <c r="A52" i="4"/>
  <c r="AU51" i="4"/>
  <c r="AT51" i="4"/>
  <c r="Z51" i="4"/>
  <c r="Y51" i="4"/>
  <c r="W51" i="4"/>
  <c r="P51" i="4"/>
  <c r="O51" i="4"/>
  <c r="F51" i="4"/>
  <c r="A51" i="4"/>
  <c r="AU50" i="4"/>
  <c r="AT50" i="4"/>
  <c r="Z50" i="4"/>
  <c r="Y50" i="4"/>
  <c r="W50" i="4"/>
  <c r="P50" i="4"/>
  <c r="O50" i="4"/>
  <c r="F50" i="4"/>
  <c r="A50" i="4"/>
  <c r="AU49" i="4"/>
  <c r="AT49" i="4"/>
  <c r="Z49" i="4"/>
  <c r="Y49" i="4"/>
  <c r="W49" i="4"/>
  <c r="P49" i="4"/>
  <c r="O49" i="4"/>
  <c r="F49" i="4"/>
  <c r="A49" i="4"/>
  <c r="AU48" i="4"/>
  <c r="AT48" i="4"/>
  <c r="Z48" i="4"/>
  <c r="Y48" i="4"/>
  <c r="W48" i="4"/>
  <c r="P48" i="4"/>
  <c r="O48" i="4"/>
  <c r="F48" i="4"/>
  <c r="A48" i="4"/>
  <c r="AU47" i="4"/>
  <c r="AT47" i="4"/>
  <c r="Z47" i="4"/>
  <c r="Y47" i="4"/>
  <c r="W47" i="4"/>
  <c r="P47" i="4"/>
  <c r="O47" i="4"/>
  <c r="F47" i="4"/>
  <c r="A47" i="4"/>
  <c r="AU46" i="4"/>
  <c r="AT46" i="4"/>
  <c r="Z46" i="4"/>
  <c r="Y46" i="4"/>
  <c r="W46" i="4"/>
  <c r="P46" i="4"/>
  <c r="O46" i="4"/>
  <c r="F46" i="4"/>
  <c r="A46" i="4"/>
  <c r="AU45" i="4"/>
  <c r="AT45" i="4"/>
  <c r="Z45" i="4"/>
  <c r="Y45" i="4"/>
  <c r="W45" i="4"/>
  <c r="P45" i="4"/>
  <c r="O45" i="4"/>
  <c r="F45" i="4"/>
  <c r="A45" i="4"/>
  <c r="AU44" i="4"/>
  <c r="AT44" i="4"/>
  <c r="Z44" i="4"/>
  <c r="Y44" i="4"/>
  <c r="W44" i="4"/>
  <c r="P44" i="4"/>
  <c r="O44" i="4"/>
  <c r="F44" i="4"/>
  <c r="A44" i="4"/>
  <c r="AU43" i="4"/>
  <c r="AT43" i="4"/>
  <c r="Z43" i="4"/>
  <c r="Y43" i="4"/>
  <c r="W43" i="4"/>
  <c r="P43" i="4"/>
  <c r="O43" i="4"/>
  <c r="F43" i="4"/>
  <c r="A43" i="4"/>
  <c r="AU42" i="4"/>
  <c r="AT42" i="4"/>
  <c r="Z42" i="4"/>
  <c r="Y42" i="4"/>
  <c r="W42" i="4"/>
  <c r="P42" i="4"/>
  <c r="O42" i="4"/>
  <c r="F42" i="4"/>
  <c r="A42" i="4"/>
  <c r="AU41" i="4"/>
  <c r="AT41" i="4"/>
  <c r="Z41" i="4"/>
  <c r="Y41" i="4"/>
  <c r="W41" i="4"/>
  <c r="P41" i="4"/>
  <c r="O41" i="4"/>
  <c r="F41" i="4"/>
  <c r="A41" i="4"/>
  <c r="AU40" i="4"/>
  <c r="AT40" i="4"/>
  <c r="Z40" i="4"/>
  <c r="Y40" i="4"/>
  <c r="W40" i="4"/>
  <c r="P40" i="4"/>
  <c r="O40" i="4"/>
  <c r="F40" i="4"/>
  <c r="A40" i="4"/>
  <c r="AU39" i="4"/>
  <c r="AT39" i="4"/>
  <c r="Z39" i="4"/>
  <c r="Y39" i="4"/>
  <c r="W39" i="4"/>
  <c r="P39" i="4"/>
  <c r="O39" i="4"/>
  <c r="F39" i="4"/>
  <c r="A39" i="4"/>
  <c r="AU38" i="4"/>
  <c r="AT38" i="4"/>
  <c r="Z38" i="4"/>
  <c r="Y38" i="4"/>
  <c r="W38" i="4"/>
  <c r="P38" i="4"/>
  <c r="O38" i="4"/>
  <c r="F38" i="4"/>
  <c r="A38" i="4"/>
  <c r="AU37" i="4"/>
  <c r="AT37" i="4"/>
  <c r="Z37" i="4"/>
  <c r="Y37" i="4"/>
  <c r="W37" i="4"/>
  <c r="P37" i="4"/>
  <c r="O37" i="4"/>
  <c r="F37" i="4"/>
  <c r="A37" i="4"/>
  <c r="AU36" i="4"/>
  <c r="AT36" i="4"/>
  <c r="Z36" i="4"/>
  <c r="Y36" i="4"/>
  <c r="W36" i="4"/>
  <c r="P36" i="4"/>
  <c r="O36" i="4"/>
  <c r="F36" i="4"/>
  <c r="A36" i="4"/>
  <c r="AU35" i="4"/>
  <c r="AT35" i="4"/>
  <c r="Z35" i="4"/>
  <c r="Y35" i="4"/>
  <c r="W35" i="4"/>
  <c r="P35" i="4"/>
  <c r="O35" i="4"/>
  <c r="F35" i="4"/>
  <c r="A35" i="4"/>
  <c r="AU34" i="4"/>
  <c r="AT34" i="4"/>
  <c r="Z34" i="4"/>
  <c r="Y34" i="4"/>
  <c r="W34" i="4"/>
  <c r="P34" i="4"/>
  <c r="O34" i="4"/>
  <c r="F34" i="4"/>
  <c r="A34" i="4"/>
  <c r="AU33" i="4"/>
  <c r="AT33" i="4"/>
  <c r="Z33" i="4"/>
  <c r="Y33" i="4"/>
  <c r="W33" i="4"/>
  <c r="P33" i="4"/>
  <c r="O33" i="4"/>
  <c r="F33" i="4"/>
  <c r="A33" i="4"/>
  <c r="AU32" i="4"/>
  <c r="AT32" i="4"/>
  <c r="Z32" i="4"/>
  <c r="Y32" i="4"/>
  <c r="W32" i="4"/>
  <c r="P32" i="4"/>
  <c r="O32" i="4"/>
  <c r="F32" i="4"/>
  <c r="A32" i="4"/>
  <c r="AU31" i="4"/>
  <c r="AT31" i="4"/>
  <c r="Z31" i="4"/>
  <c r="Y31" i="4"/>
  <c r="W31" i="4"/>
  <c r="P31" i="4"/>
  <c r="O31" i="4"/>
  <c r="F31" i="4"/>
  <c r="A31" i="4"/>
  <c r="AU30" i="4"/>
  <c r="AT30" i="4"/>
  <c r="Z30" i="4"/>
  <c r="Y30" i="4"/>
  <c r="W30" i="4"/>
  <c r="P30" i="4"/>
  <c r="O30" i="4"/>
  <c r="F30" i="4"/>
  <c r="A30" i="4"/>
  <c r="AU29" i="4"/>
  <c r="AT29" i="4"/>
  <c r="Z29" i="4"/>
  <c r="Y29" i="4"/>
  <c r="W29" i="4"/>
  <c r="P29" i="4"/>
  <c r="O29" i="4"/>
  <c r="F29" i="4"/>
  <c r="A29" i="4"/>
  <c r="AU28" i="4"/>
  <c r="AT28" i="4"/>
  <c r="Z28" i="4"/>
  <c r="Y28" i="4"/>
  <c r="W28" i="4"/>
  <c r="P28" i="4"/>
  <c r="O28" i="4"/>
  <c r="F28" i="4"/>
  <c r="A28" i="4"/>
  <c r="AU27" i="4"/>
  <c r="AT27" i="4"/>
  <c r="Z27" i="4"/>
  <c r="Y27" i="4"/>
  <c r="W27" i="4"/>
  <c r="P27" i="4"/>
  <c r="O27" i="4"/>
  <c r="F27" i="4"/>
  <c r="A27" i="4"/>
  <c r="AU26" i="4"/>
  <c r="AT26" i="4"/>
  <c r="Z26" i="4"/>
  <c r="Y26" i="4"/>
  <c r="W26" i="4"/>
  <c r="P26" i="4"/>
  <c r="O26" i="4"/>
  <c r="F26" i="4"/>
  <c r="A26" i="4"/>
  <c r="AU25" i="4"/>
  <c r="AT25" i="4"/>
  <c r="Z25" i="4"/>
  <c r="Y25" i="4"/>
  <c r="W25" i="4"/>
  <c r="P25" i="4"/>
  <c r="O25" i="4"/>
  <c r="F25" i="4"/>
  <c r="A25" i="4"/>
  <c r="AU24" i="4"/>
  <c r="AT24" i="4"/>
  <c r="Z24" i="4"/>
  <c r="Y24" i="4"/>
  <c r="W24" i="4"/>
  <c r="P24" i="4"/>
  <c r="O24" i="4"/>
  <c r="F24" i="4"/>
  <c r="A24" i="4"/>
  <c r="AU23" i="4"/>
  <c r="AT23" i="4"/>
  <c r="Z23" i="4"/>
  <c r="Y23" i="4"/>
  <c r="W23" i="4"/>
  <c r="P23" i="4"/>
  <c r="O23" i="4"/>
  <c r="F23" i="4"/>
  <c r="A23" i="4"/>
  <c r="AU22" i="4"/>
  <c r="AT22" i="4"/>
  <c r="Z22" i="4"/>
  <c r="Y22" i="4"/>
  <c r="W22" i="4"/>
  <c r="P22" i="4"/>
  <c r="O22" i="4"/>
  <c r="F22" i="4"/>
  <c r="A22" i="4"/>
  <c r="AU21" i="4"/>
  <c r="AT21" i="4"/>
  <c r="Z21" i="4"/>
  <c r="Y21" i="4"/>
  <c r="W21" i="4"/>
  <c r="P21" i="4"/>
  <c r="O21" i="4"/>
  <c r="F21" i="4"/>
  <c r="A21" i="4"/>
  <c r="AU20" i="4"/>
  <c r="AT20" i="4"/>
  <c r="Z20" i="4"/>
  <c r="Y20" i="4"/>
  <c r="W20" i="4"/>
  <c r="P20" i="4"/>
  <c r="O20" i="4"/>
  <c r="F20" i="4"/>
  <c r="A20" i="4"/>
  <c r="AU19" i="4"/>
  <c r="AT19" i="4"/>
  <c r="Z19" i="4"/>
  <c r="Y19" i="4"/>
  <c r="W19" i="4"/>
  <c r="P19" i="4"/>
  <c r="O19" i="4"/>
  <c r="F19" i="4"/>
  <c r="A19" i="4"/>
  <c r="AU18" i="4"/>
  <c r="AT18" i="4"/>
  <c r="Z18" i="4"/>
  <c r="Y18" i="4"/>
  <c r="W18" i="4"/>
  <c r="P18" i="4"/>
  <c r="O18" i="4"/>
  <c r="F18" i="4"/>
  <c r="A18" i="4"/>
  <c r="AU17" i="4"/>
  <c r="AT17" i="4"/>
  <c r="Z17" i="4"/>
  <c r="Y17" i="4"/>
  <c r="W17" i="4"/>
  <c r="P17" i="4"/>
  <c r="O17" i="4"/>
  <c r="F17" i="4"/>
  <c r="A17" i="4"/>
  <c r="AU16" i="4"/>
  <c r="AT16" i="4"/>
  <c r="Z16" i="4"/>
  <c r="Y16" i="4"/>
  <c r="W16" i="4"/>
  <c r="P16" i="4"/>
  <c r="O16" i="4"/>
  <c r="F16" i="4"/>
  <c r="A16" i="4"/>
  <c r="AU15" i="4"/>
  <c r="AT15" i="4"/>
  <c r="Z15" i="4"/>
  <c r="Y15" i="4"/>
  <c r="W15" i="4"/>
  <c r="P15" i="4"/>
  <c r="O15" i="4"/>
  <c r="F15" i="4"/>
  <c r="A15" i="4"/>
  <c r="AU14" i="4"/>
  <c r="AT14" i="4"/>
  <c r="Z14" i="4"/>
  <c r="Y14" i="4"/>
  <c r="W14" i="4"/>
  <c r="P14" i="4"/>
  <c r="O14" i="4"/>
  <c r="F14" i="4"/>
  <c r="A14" i="4"/>
  <c r="AU13" i="4"/>
  <c r="AT13" i="4"/>
  <c r="Z13" i="4"/>
  <c r="Y13" i="4"/>
  <c r="W13" i="4"/>
  <c r="P13" i="4"/>
  <c r="O13" i="4"/>
  <c r="F13" i="4"/>
  <c r="A13" i="4"/>
  <c r="AU12" i="4"/>
  <c r="AT12" i="4"/>
  <c r="Z12" i="4"/>
  <c r="Y12" i="4"/>
  <c r="W12" i="4"/>
  <c r="P12" i="4"/>
  <c r="O12" i="4"/>
  <c r="F12" i="4"/>
  <c r="A12" i="4"/>
  <c r="AU11" i="4"/>
  <c r="AT11" i="4"/>
  <c r="Z11" i="4"/>
  <c r="Y11" i="4"/>
  <c r="W11" i="4"/>
  <c r="P11" i="4"/>
  <c r="O11" i="4"/>
  <c r="F11" i="4"/>
  <c r="A11" i="4"/>
  <c r="AU10" i="4"/>
  <c r="AT10" i="4"/>
  <c r="Z10" i="4"/>
  <c r="Y10" i="4"/>
  <c r="W10" i="4"/>
  <c r="P10" i="4"/>
  <c r="O10" i="4"/>
  <c r="F10" i="4"/>
  <c r="A10" i="4"/>
  <c r="AU9" i="4"/>
  <c r="I4" i="4" s="1"/>
  <c r="AT9" i="4"/>
  <c r="F4" i="4" s="1"/>
  <c r="C10" i="2" s="1"/>
  <c r="Z9" i="4"/>
  <c r="Y9" i="4"/>
  <c r="W9" i="4"/>
  <c r="P9" i="4"/>
  <c r="O9" i="4"/>
  <c r="F9" i="4"/>
  <c r="A9" i="4"/>
  <c r="W8" i="4"/>
  <c r="P8" i="4"/>
  <c r="Z8" i="4" s="1"/>
  <c r="O8" i="4"/>
  <c r="F8" i="4"/>
  <c r="D4" i="4"/>
  <c r="B4" i="4"/>
  <c r="B5" i="4" s="1"/>
  <c r="C17" i="3"/>
  <c r="X8" i="4" s="1"/>
  <c r="Y8" i="4" s="1"/>
  <c r="C16" i="3"/>
  <c r="C15" i="3"/>
  <c r="C12" i="3"/>
  <c r="C10" i="3"/>
  <c r="C9" i="2"/>
  <c r="X57" i="4" l="1"/>
  <c r="X10" i="4"/>
  <c r="X12" i="4"/>
  <c r="X14" i="4"/>
  <c r="X16" i="4"/>
  <c r="X18" i="4"/>
  <c r="X20" i="4"/>
  <c r="X22" i="4"/>
  <c r="X24" i="4"/>
  <c r="X26" i="4"/>
  <c r="X28" i="4"/>
  <c r="X30" i="4"/>
  <c r="X32" i="4"/>
  <c r="X34" i="4"/>
  <c r="X35" i="4"/>
  <c r="X36" i="4"/>
  <c r="X37" i="4"/>
  <c r="X38" i="4"/>
  <c r="X40" i="4"/>
  <c r="X41" i="4"/>
  <c r="X42" i="4"/>
  <c r="X43" i="4"/>
  <c r="X44" i="4"/>
  <c r="X45" i="4"/>
  <c r="X46" i="4"/>
  <c r="X47" i="4"/>
  <c r="X48" i="4"/>
  <c r="X49" i="4"/>
  <c r="X50" i="4"/>
  <c r="X51" i="4"/>
  <c r="X52" i="4"/>
  <c r="X53" i="4"/>
  <c r="X54" i="4"/>
  <c r="X55" i="4"/>
  <c r="X56" i="4"/>
  <c r="X58" i="4"/>
  <c r="X9" i="4"/>
  <c r="X11" i="4"/>
  <c r="X13" i="4"/>
  <c r="X15" i="4"/>
  <c r="X17" i="4"/>
  <c r="X19" i="4"/>
  <c r="X21" i="4"/>
  <c r="X23" i="4"/>
  <c r="X25" i="4"/>
  <c r="X27" i="4"/>
  <c r="X29" i="4"/>
  <c r="X31" i="4"/>
  <c r="X33" i="4"/>
  <c r="X39" i="4"/>
  <c r="C12" i="2"/>
  <c r="C13" i="2"/>
  <c r="L4" i="4"/>
  <c r="C11" i="2" s="1"/>
  <c r="C4" i="5"/>
  <c r="G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社労士フォーム</author>
    <author>点検</author>
  </authors>
  <commentList>
    <comment ref="A7" authorId="0" shapeId="0" xr:uid="{00000000-0006-0000-0300-000001000000}">
      <text>
        <r>
          <rPr>
            <sz val="11"/>
            <color theme="1"/>
            <rFont val="ＭＳ Ｐゴシック"/>
            <family val="2"/>
            <scheme val="minor"/>
          </rPr>
          <t>用途：このフォーム内で本人と被扶養者を紐付ける一時番号（自動）。台帳の従業員IDは事務所側で採番します。</t>
        </r>
      </text>
    </comment>
    <comment ref="B7" authorId="0" shapeId="0" xr:uid="{00000000-0006-0000-0300-000002000000}">
      <text>
        <r>
          <rPr>
            <sz val="11"/>
            <color theme="1"/>
            <rFont val="ＭＳ Ｐゴシック"/>
            <family val="2"/>
            <scheme val="minor"/>
          </rPr>
          <t>用途：資格取得届の被保険者氏名。届出の本人特定。</t>
        </r>
      </text>
    </comment>
    <comment ref="C7" authorId="0" shapeId="0" xr:uid="{00000000-0006-0000-0300-000003000000}">
      <text>
        <r>
          <rPr>
            <sz val="11"/>
            <color theme="1"/>
            <rFont val="ＭＳ Ｐゴシック"/>
            <family val="2"/>
            <scheme val="minor"/>
          </rPr>
          <t>用途：届出のフリガナ欄（全角カタカナ）。</t>
        </r>
      </text>
    </comment>
    <comment ref="D7" authorId="0" shapeId="0" xr:uid="{00000000-0006-0000-0300-000004000000}">
      <text>
        <r>
          <rPr>
            <sz val="11"/>
            <color theme="1"/>
            <rFont val="ＭＳ Ｐゴシック"/>
            <family val="2"/>
            <scheme val="minor"/>
          </rPr>
          <t>用途：資格取得届の性別。</t>
        </r>
      </text>
    </comment>
    <comment ref="E7" authorId="0" shapeId="0" xr:uid="{00000000-0006-0000-0300-000005000000}">
      <text>
        <r>
          <rPr>
            <sz val="11"/>
            <color theme="1"/>
            <rFont val="ＭＳ Ｐゴシック"/>
            <family val="2"/>
            <scheme val="minor"/>
          </rPr>
          <t>用途：資格取得届の生年月日。社保・雇保の加入判定（年齢）にも使用。</t>
        </r>
      </text>
    </comment>
    <comment ref="F7" authorId="0" shapeId="0" xr:uid="{00000000-0006-0000-0300-000006000000}">
      <text>
        <r>
          <rPr>
            <sz val="11"/>
            <color theme="1"/>
            <rFont val="ＭＳ Ｐゴシック"/>
            <family val="2"/>
            <scheme val="minor"/>
          </rPr>
          <t>用途：入社日時点の年齢（自動）。70歳/75歳の社保の取扱い判定に使用。</t>
        </r>
      </text>
    </comment>
    <comment ref="G7" authorId="0" shapeId="0" xr:uid="{00000000-0006-0000-0300-000007000000}">
      <text>
        <r>
          <rPr>
            <sz val="11"/>
            <color theme="1"/>
            <rFont val="ＭＳ Ｐゴシック"/>
            <family val="2"/>
            <scheme val="minor"/>
          </rPr>
          <t>用途：資格取得日（＝入社日）。社保・雇保の資格取得届の取得年月日。</t>
        </r>
      </text>
    </comment>
    <comment ref="H7" authorId="0" shapeId="0" xr:uid="{00000000-0006-0000-0300-000008000000}">
      <text>
        <r>
          <rPr>
            <sz val="11"/>
            <color theme="1"/>
            <rFont val="ＭＳ Ｐゴシック"/>
            <family val="2"/>
            <scheme val="minor"/>
          </rPr>
          <t>用途：雇用形態。社保・雇保の加入判定の前提。</t>
        </r>
      </text>
    </comment>
    <comment ref="I7" authorId="0" shapeId="0" xr:uid="{00000000-0006-0000-0300-000009000000}">
      <text>
        <r>
          <rPr>
            <sz val="11"/>
            <color theme="1"/>
            <rFont val="ＭＳ Ｐゴシック"/>
            <family val="2"/>
            <scheme val="minor"/>
          </rPr>
          <t>用途：雇用期間の定め。社保の2か月要件・雇保の31日要件の判定に使用。</t>
        </r>
      </text>
    </comment>
    <comment ref="J7" authorId="0" shapeId="0" xr:uid="{00000000-0006-0000-0300-00000A000000}">
      <text>
        <r>
          <rPr>
            <sz val="11"/>
            <color theme="1"/>
            <rFont val="ＭＳ Ｐゴシック"/>
            <family val="2"/>
            <scheme val="minor"/>
          </rPr>
          <t>用途：契約満了日。雇用見込み期間の判定に使用。</t>
        </r>
      </text>
    </comment>
    <comment ref="K7" authorId="0" shapeId="0" xr:uid="{00000000-0006-0000-0300-00000B000000}">
      <text>
        <r>
          <rPr>
            <sz val="11"/>
            <color theme="1"/>
            <rFont val="ＭＳ Ｐゴシック"/>
            <family val="2"/>
            <scheme val="minor"/>
          </rPr>
          <t>用途：契約更新の見込み。社保・雇保の加入見込みの判定に使用。</t>
        </r>
      </text>
    </comment>
    <comment ref="L7" authorId="0" shapeId="0" xr:uid="{00000000-0006-0000-0300-00000C000000}">
      <text>
        <r>
          <rPr>
            <sz val="11"/>
            <color theme="1"/>
            <rFont val="ＭＳ Ｐゴシック"/>
            <family val="2"/>
            <scheme val="minor"/>
          </rPr>
          <t>用途：週の所定労働時間。4分の3基準・短時間（週20h）要件の判定。</t>
        </r>
      </text>
    </comment>
    <comment ref="M7" authorId="0" shapeId="0" xr:uid="{00000000-0006-0000-0300-00000D000000}">
      <text>
        <r>
          <rPr>
            <sz val="11"/>
            <color theme="1"/>
            <rFont val="ＭＳ Ｐゴシック"/>
            <family val="2"/>
            <scheme val="minor"/>
          </rPr>
          <t>用途：月の所定労働日数。4分の3基準の判定。</t>
        </r>
      </text>
    </comment>
    <comment ref="N7" authorId="0" shapeId="0" xr:uid="{00000000-0006-0000-0300-00000E000000}">
      <text>
        <r>
          <rPr>
            <sz val="11"/>
            <color theme="1"/>
            <rFont val="ＭＳ Ｐゴシック"/>
            <family val="2"/>
            <scheme val="minor"/>
          </rPr>
          <t>用途：学生区分。雇用保険の適用除外（昼間学生）の判定。</t>
        </r>
      </text>
    </comment>
    <comment ref="O7" authorId="0" shapeId="0" xr:uid="{00000000-0006-0000-0300-00000F000000}">
      <text>
        <r>
          <rPr>
            <sz val="11"/>
            <color theme="1"/>
            <rFont val="ＭＳ Ｐゴシック"/>
            <family val="2"/>
            <scheme val="minor"/>
          </rPr>
          <t>用途：2か月超の雇用見込み（自動）。社保の2か月要件の判定。</t>
        </r>
      </text>
    </comment>
    <comment ref="P7" authorId="0" shapeId="0" xr:uid="{00000000-0006-0000-0300-000010000000}">
      <text>
        <r>
          <rPr>
            <sz val="11"/>
            <color theme="1"/>
            <rFont val="ＭＳ Ｐゴシック"/>
            <family val="2"/>
            <scheme val="minor"/>
          </rPr>
          <t>用途：31日以上の雇用見込み（自動）。雇用保険の31日要件の判定。</t>
        </r>
      </text>
    </comment>
    <comment ref="Q7" authorId="0" shapeId="0" xr:uid="{00000000-0006-0000-0300-000011000000}">
      <text>
        <r>
          <rPr>
            <sz val="11"/>
            <color theme="1"/>
            <rFont val="ＭＳ Ｐゴシック"/>
            <family val="2"/>
            <scheme val="minor"/>
          </rPr>
          <t>用途：賃金形態。雇保の賃金欄・社保の報酬月額の扱いの前提。</t>
        </r>
      </text>
    </comment>
    <comment ref="R7" authorId="0" shapeId="0" xr:uid="{00000000-0006-0000-0300-000012000000}">
      <text>
        <r>
          <rPr>
            <sz val="11"/>
            <color theme="1"/>
            <rFont val="ＭＳ Ｐゴシック"/>
            <family val="2"/>
            <scheme val="minor"/>
          </rPr>
          <t>用途：時給・日給の単価。月額換算の参考。</t>
        </r>
      </text>
    </comment>
    <comment ref="S7" authorId="0" shapeId="0" xr:uid="{00000000-0006-0000-0300-000013000000}">
      <text>
        <r>
          <rPr>
            <sz val="11"/>
            <color theme="1"/>
            <rFont val="ＭＳ Ｐゴシック"/>
            <family val="2"/>
            <scheme val="minor"/>
          </rPr>
          <t>用途：基本給（月額）。社保の報酬月額・8.8万円要件の判定。</t>
        </r>
      </text>
    </comment>
    <comment ref="T7" authorId="0" shapeId="0" xr:uid="{00000000-0006-0000-0300-000014000000}">
      <text>
        <r>
          <rPr>
            <sz val="11"/>
            <color theme="1"/>
            <rFont val="ＭＳ Ｐゴシック"/>
            <family val="2"/>
            <scheme val="minor"/>
          </rPr>
          <t>用途：固定手当（月額）。社保の報酬月額に算入します。うち家族手当・精皆勤手当は右の『うち家族手当・精皆勤手当』欄にも金額をご記入ください（8.8万円要件の判定から差し引きます）。</t>
        </r>
      </text>
    </comment>
    <comment ref="U7" authorId="0" shapeId="0" xr:uid="{00000000-0006-0000-0300-000015000000}">
      <text>
        <r>
          <rPr>
            <sz val="11"/>
            <color theme="1"/>
            <rFont val="ＭＳ Ｐゴシック"/>
            <family val="2"/>
            <scheme val="minor"/>
          </rPr>
          <t>用途：通勤手当（1か月相当）。社保の報酬月額に算入。</t>
        </r>
      </text>
    </comment>
    <comment ref="V7" authorId="0" shapeId="0" xr:uid="{00000000-0006-0000-0300-000016000000}">
      <text>
        <r>
          <rPr>
            <sz val="11"/>
            <color theme="1"/>
            <rFont val="ＭＳ Ｐゴシック"/>
            <family val="2"/>
            <scheme val="minor"/>
          </rPr>
          <t>用途：現物給与（月額相当）。社保の報酬月額に算入。</t>
        </r>
      </text>
    </comment>
    <comment ref="W7" authorId="0" shapeId="0" xr:uid="{00000000-0006-0000-0300-000017000000}">
      <text>
        <r>
          <rPr>
            <sz val="11"/>
            <color theme="1"/>
            <rFont val="ＭＳ Ｐゴシック"/>
            <family val="2"/>
            <scheme val="minor"/>
          </rPr>
          <t>用途：報酬月額の合計（自動）。社保の標準報酬の目安。</t>
        </r>
      </text>
    </comment>
    <comment ref="X7" authorId="0" shapeId="0" xr:uid="{00000000-0006-0000-0300-000018000000}">
      <text>
        <r>
          <rPr>
            <sz val="11"/>
            <color theme="1"/>
            <rFont val="ＭＳ Ｐゴシック"/>
            <family val="2"/>
            <scheme val="minor"/>
          </rPr>
          <t>用途：健保・厚年の加入判定（目安・自動）。最終判断は社労士。</t>
        </r>
      </text>
    </comment>
    <comment ref="Y7" authorId="0" shapeId="0" xr:uid="{00000000-0006-0000-0300-000019000000}">
      <text>
        <r>
          <rPr>
            <sz val="11"/>
            <color theme="1"/>
            <rFont val="ＭＳ Ｐゴシック"/>
            <family val="2"/>
            <scheme val="minor"/>
          </rPr>
          <t>用途：年齢に伴う注記（70歳以上被用者・後期高齢者 等。自動）。</t>
        </r>
      </text>
    </comment>
    <comment ref="Z7" authorId="0" shapeId="0" xr:uid="{00000000-0006-0000-0300-00001A000000}">
      <text>
        <r>
          <rPr>
            <sz val="11"/>
            <color theme="1"/>
            <rFont val="ＭＳ Ｐゴシック"/>
            <family val="2"/>
            <scheme val="minor"/>
          </rPr>
          <t>用途：雇用保険の加入判定（目安・自動）。</t>
        </r>
      </text>
    </comment>
    <comment ref="AA7" authorId="0" shapeId="0" xr:uid="{00000000-0006-0000-0300-00001B000000}">
      <text>
        <r>
          <rPr>
            <sz val="11"/>
            <color theme="1"/>
            <rFont val="ＭＳ Ｐゴシック"/>
            <family val="2"/>
            <scheme val="minor"/>
          </rPr>
          <t>用途：資格取得届のマイナンバー欄。フォームに直接入れない運用では別経路提出の状態管理に使う。</t>
        </r>
      </text>
    </comment>
    <comment ref="AB7" authorId="0" shapeId="0" xr:uid="{00000000-0006-0000-0300-00001C000000}">
      <text>
        <r>
          <rPr>
            <sz val="11"/>
            <color theme="1"/>
            <rFont val="ＭＳ Ｐゴシック"/>
            <family val="2"/>
            <scheme val="minor"/>
          </rPr>
          <t>用途：厚生年金の基礎年金番号欄（マイナンバーがあれば省略可）。</t>
        </r>
      </text>
    </comment>
    <comment ref="AC7" authorId="0" shapeId="0" xr:uid="{00000000-0006-0000-0300-00001D000000}">
      <text>
        <r>
          <rPr>
            <sz val="11"/>
            <color theme="1"/>
            <rFont val="ＭＳ Ｐゴシック"/>
            <family val="2"/>
            <scheme val="minor"/>
          </rPr>
          <t>用途：前職での雇用保険加入の有無。被保険者番号の要否・前職照会の判断。</t>
        </r>
      </text>
    </comment>
    <comment ref="AD7" authorId="0" shapeId="0" xr:uid="{00000000-0006-0000-0300-00001E000000}">
      <text>
        <r>
          <rPr>
            <sz val="11"/>
            <color theme="1"/>
            <rFont val="ＭＳ Ｐゴシック"/>
            <family val="2"/>
            <scheme val="minor"/>
          </rPr>
          <t>用途：雇用保険の被保険者番号欄。前職で加入していれば前職の番号を引き継ぐ。</t>
        </r>
      </text>
    </comment>
    <comment ref="AE7" authorId="0" shapeId="0" xr:uid="{00000000-0006-0000-0300-00001F000000}">
      <text>
        <r>
          <rPr>
            <sz val="11"/>
            <color theme="1"/>
            <rFont val="ＭＳ Ｐゴシック"/>
            <family val="2"/>
            <scheme val="minor"/>
          </rPr>
          <t>用途：雇保番号が一度割り当て済みだが不明のとき、ハローワークが番号を照会するための前職事業所名。</t>
        </r>
      </text>
    </comment>
    <comment ref="AF7" authorId="0" shapeId="0" xr:uid="{00000000-0006-0000-0300-000020000000}">
      <text>
        <r>
          <rPr>
            <sz val="11"/>
            <color theme="1"/>
            <rFont val="ＭＳ Ｐゴシック"/>
            <family val="2"/>
            <scheme val="minor"/>
          </rPr>
          <t>用途：前職の退職年月日。番号照会の手がかり。</t>
        </r>
      </text>
    </comment>
    <comment ref="AG7" authorId="0" shapeId="0" xr:uid="{00000000-0006-0000-0300-000021000000}">
      <text>
        <r>
          <rPr>
            <sz val="11"/>
            <color theme="1"/>
            <rFont val="ＭＳ Ｐゴシック"/>
            <family val="2"/>
            <scheme val="minor"/>
          </rPr>
          <t>用途：本人住所（郵便番号）。各届出・通知の送付先。</t>
        </r>
      </text>
    </comment>
    <comment ref="AH7" authorId="0" shapeId="0" xr:uid="{00000000-0006-0000-0300-000022000000}">
      <text>
        <r>
          <rPr>
            <sz val="11"/>
            <color theme="1"/>
            <rFont val="ＭＳ Ｐゴシック"/>
            <family val="2"/>
            <scheme val="minor"/>
          </rPr>
          <t>用途：本人住所の都道府県。</t>
        </r>
      </text>
    </comment>
    <comment ref="AI7" authorId="0" shapeId="0" xr:uid="{00000000-0006-0000-0300-000023000000}">
      <text>
        <r>
          <rPr>
            <sz val="11"/>
            <color theme="1"/>
            <rFont val="ＭＳ Ｐゴシック"/>
            <family val="2"/>
            <scheme val="minor"/>
          </rPr>
          <t>用途：本人住所の市区町村以下。</t>
        </r>
      </text>
    </comment>
    <comment ref="AJ7" authorId="0" shapeId="0" xr:uid="{00000000-0006-0000-0300-000024000000}">
      <text>
        <r>
          <rPr>
            <sz val="11"/>
            <color theme="1"/>
            <rFont val="ＭＳ Ｐゴシック"/>
            <family val="2"/>
            <scheme val="minor"/>
          </rPr>
          <t>用途：本人住所の建物・部屋。</t>
        </r>
      </text>
    </comment>
    <comment ref="AK7" authorId="0" shapeId="0" xr:uid="{00000000-0006-0000-0300-000025000000}">
      <text>
        <r>
          <rPr>
            <sz val="11"/>
            <color theme="1"/>
            <rFont val="ＭＳ Ｐゴシック"/>
            <family val="2"/>
            <scheme val="minor"/>
          </rPr>
          <t>用途：本人連絡先。確認の連絡用。</t>
        </r>
      </text>
    </comment>
    <comment ref="AL7" authorId="0" shapeId="0" xr:uid="{00000000-0006-0000-0300-000026000000}">
      <text>
        <r>
          <rPr>
            <sz val="11"/>
            <color theme="1"/>
            <rFont val="ＭＳ Ｐゴシック"/>
            <family val="2"/>
            <scheme val="minor"/>
          </rPr>
          <t>用途：国籍。外国籍は資格取得届の在留資格等の記載が必要。</t>
        </r>
      </text>
    </comment>
    <comment ref="AM7" authorId="0" shapeId="0" xr:uid="{00000000-0006-0000-0300-000027000000}">
      <text>
        <r>
          <rPr>
            <sz val="11"/>
            <color theme="1"/>
            <rFont val="ＭＳ Ｐゴシック"/>
            <family val="2"/>
            <scheme val="minor"/>
          </rPr>
          <t>用途：在留資格（外国籍）。資格取得届の備考・国籍欄。</t>
        </r>
      </text>
    </comment>
    <comment ref="AN7" authorId="0" shapeId="0" xr:uid="{00000000-0006-0000-0300-000028000000}">
      <text>
        <r>
          <rPr>
            <sz val="11"/>
            <color theme="1"/>
            <rFont val="ＭＳ Ｐゴシック"/>
            <family val="2"/>
            <scheme val="minor"/>
          </rPr>
          <t>用途：在留期間満了日（外国籍）。</t>
        </r>
      </text>
    </comment>
    <comment ref="AO7" authorId="0" shapeId="0" xr:uid="{00000000-0006-0000-0300-000029000000}">
      <text>
        <r>
          <rPr>
            <sz val="11"/>
            <color theme="1"/>
            <rFont val="ＭＳ Ｐゴシック"/>
            <family val="2"/>
            <scheme val="minor"/>
          </rPr>
          <t>用途：ローマ字氏名（外国籍）。資格取得届のローマ字氏名欄。</t>
        </r>
      </text>
    </comment>
    <comment ref="AP7" authorId="0" shapeId="0" xr:uid="{00000000-0006-0000-0300-00002A000000}">
      <text>
        <r>
          <rPr>
            <sz val="11"/>
            <color theme="1"/>
            <rFont val="ＭＳ Ｐゴシック"/>
            <family val="2"/>
            <scheme val="minor"/>
          </rPr>
          <t>用途：資格確認書の発行要否（マイナ保険証の登録状況）。</t>
        </r>
      </text>
    </comment>
    <comment ref="AQ7" authorId="0" shapeId="0" xr:uid="{00000000-0006-0000-0300-00002B000000}">
      <text>
        <r>
          <rPr>
            <sz val="11"/>
            <color theme="1"/>
            <rFont val="ＭＳ Ｐゴシック"/>
            <family val="2"/>
            <scheme val="minor"/>
          </rPr>
          <t>用途：被扶養者の有無。『あり』はシート②と健康保険被扶養者（異動）届。</t>
        </r>
      </text>
    </comment>
    <comment ref="AR7" authorId="0" shapeId="0" xr:uid="{00000000-0006-0000-0300-00002C000000}">
      <text>
        <r>
          <rPr>
            <sz val="11"/>
            <color theme="1"/>
            <rFont val="ＭＳ Ｐゴシック"/>
            <family val="2"/>
            <scheme val="minor"/>
          </rPr>
          <t>用途：連絡事項（外字・特記など）。自由記入。</t>
        </r>
      </text>
    </comment>
    <comment ref="AV7" authorId="0" shapeId="0" xr:uid="{00000000-0006-0000-0300-00002D000000}">
      <text>
        <r>
          <rPr>
            <sz val="11"/>
            <color theme="1"/>
            <rFont val="ＭＳ Ｐゴシック"/>
            <family val="2"/>
            <scheme val="minor"/>
          </rPr>
          <t>用途：雇用保険 資格取得届の職種欄。近いものを選んでください（分からないときは『分からない』で構いません）。〔区分名は提出前に現行様式で照合します〕</t>
        </r>
      </text>
    </comment>
    <comment ref="AW7" authorId="0" shapeId="0" xr:uid="{00000000-0006-0000-0300-00002E000000}">
      <text>
        <r>
          <rPr>
            <sz val="11"/>
            <color theme="1"/>
            <rFont val="ＭＳ Ｐゴシック"/>
            <family val="2"/>
            <scheme val="minor"/>
          </rPr>
          <t>用途：8.8万円（賃金要件）の判定から差し引く手当。左の『固定手当』に含めた金額のうち、家族手当・精皆勤手当の分をご記入ください。〔健保法3条9項4号・要確認〕</t>
        </r>
      </text>
    </comment>
    <comment ref="AX7" authorId="0" shapeId="0" xr:uid="{00000000-0006-0000-0300-00002F000000}">
      <text>
        <r>
          <rPr>
            <sz val="11"/>
            <color theme="1"/>
            <rFont val="ＭＳ Ｐゴシック"/>
            <family val="2"/>
            <scheme val="minor"/>
          </rPr>
          <t>用途：他社でも社会保険（健康保険・厚生年金）に加入しているか。『はい』のときは二以上事業所勤務届が別途必要です。</t>
        </r>
      </text>
    </comment>
    <comment ref="AY7" authorId="1" shapeId="0" xr:uid="{00000000-0006-0000-0300-000030000000}">
      <text>
        <r>
          <rPr>
            <sz val="11"/>
            <color theme="1"/>
            <rFont val="ＭＳ Ｐゴシック"/>
            <family val="2"/>
            <scheme val="minor"/>
          </rPr>
          <t>用途：報酬月額に算入する現物給与の種類。都道府県別の標準価額で算定するのが原則〔健保法46条・厚年法25条ほか、要確認〕なので、種類が分からないと金額を検算できません。</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社労士フォーム</author>
  </authors>
  <commentList>
    <comment ref="A6" authorId="0" shapeId="0" xr:uid="{00000000-0006-0000-0400-000001000000}">
      <text>
        <r>
          <rPr>
            <sz val="11"/>
            <color theme="1"/>
            <rFont val="ＭＳ Ｐゴシック"/>
            <family val="2"/>
            <scheme val="minor"/>
          </rPr>
          <t>用途：どの従業員（本人）の被扶養者かを紐付ける番号（シート①のフォーム内No.）。</t>
        </r>
      </text>
    </comment>
    <comment ref="B6" authorId="0" shapeId="0" xr:uid="{00000000-0006-0000-0400-000002000000}">
      <text>
        <r>
          <rPr>
            <sz val="11"/>
            <color theme="1"/>
            <rFont val="ＭＳ Ｐゴシック"/>
            <family val="2"/>
            <scheme val="minor"/>
          </rPr>
          <t>用途：健康保険 被扶養者（異動）届の被扶養者氏名。</t>
        </r>
      </text>
    </comment>
    <comment ref="C6" authorId="0" shapeId="0" xr:uid="{00000000-0006-0000-0400-000003000000}">
      <text>
        <r>
          <rPr>
            <sz val="11"/>
            <color theme="1"/>
            <rFont val="ＭＳ Ｐゴシック"/>
            <family val="2"/>
            <scheme val="minor"/>
          </rPr>
          <t>用途：被扶養者のフリガナ（全角カタカナ）。</t>
        </r>
      </text>
    </comment>
    <comment ref="D6" authorId="0" shapeId="0" xr:uid="{00000000-0006-0000-0400-000004000000}">
      <text>
        <r>
          <rPr>
            <sz val="11"/>
            <color theme="1"/>
            <rFont val="ＭＳ Ｐゴシック"/>
            <family val="2"/>
            <scheme val="minor"/>
          </rPr>
          <t>用途：本人との続柄。扶養認定（範囲・生計維持）の判定。</t>
        </r>
      </text>
    </comment>
    <comment ref="E6" authorId="0" shapeId="0" xr:uid="{00000000-0006-0000-0400-000005000000}">
      <text>
        <r>
          <rPr>
            <sz val="11"/>
            <color theme="1"/>
            <rFont val="ＭＳ Ｐゴシック"/>
            <family val="2"/>
            <scheme val="minor"/>
          </rPr>
          <t>用途：被扶養者の生年月日。年齢による認定基準の判定。</t>
        </r>
      </text>
    </comment>
    <comment ref="F6" authorId="0" shapeId="0" xr:uid="{00000000-0006-0000-0400-000006000000}">
      <text>
        <r>
          <rPr>
            <sz val="11"/>
            <color theme="1"/>
            <rFont val="ＭＳ Ｐゴシック"/>
            <family val="2"/>
            <scheme val="minor"/>
          </rPr>
          <t>用途：被扶養者の性別。</t>
        </r>
      </text>
    </comment>
    <comment ref="G6" authorId="0" shapeId="0" xr:uid="{00000000-0006-0000-0400-000007000000}">
      <text>
        <r>
          <rPr>
            <sz val="11"/>
            <color theme="1"/>
            <rFont val="ＭＳ Ｐゴシック"/>
            <family val="2"/>
            <scheme val="minor"/>
          </rPr>
          <t>用途：被扶養者（異動）届のマイナンバー欄。別経路提出・後日提出の状態管理にも使う。</t>
        </r>
      </text>
    </comment>
    <comment ref="H6" authorId="0" shapeId="0" xr:uid="{00000000-0006-0000-0400-000008000000}">
      <text>
        <r>
          <rPr>
            <sz val="11"/>
            <color theme="1"/>
            <rFont val="ＭＳ Ｐゴシック"/>
            <family val="2"/>
            <scheme val="minor"/>
          </rPr>
          <t>用途：同居・別居。生計維持要件の判定に影響。</t>
        </r>
      </text>
    </comment>
    <comment ref="I6" authorId="0" shapeId="0" xr:uid="{00000000-0006-0000-0400-000009000000}">
      <text>
        <r>
          <rPr>
            <sz val="11"/>
            <color theme="1"/>
            <rFont val="ＭＳ Ｐゴシック"/>
            <family val="2"/>
            <scheme val="minor"/>
          </rPr>
          <t>用途：年間収入見込み。扶養認定の収入要件（130万/180万未満）の判定。</t>
        </r>
      </text>
    </comment>
    <comment ref="J6" authorId="0" shapeId="0" xr:uid="{00000000-0006-0000-0400-00000A000000}">
      <text>
        <r>
          <rPr>
            <sz val="11"/>
            <color theme="1"/>
            <rFont val="ＭＳ Ｐゴシック"/>
            <family val="2"/>
            <scheme val="minor"/>
          </rPr>
          <t>用途：被扶養者の職業（収入の確認）。</t>
        </r>
      </text>
    </comment>
    <comment ref="K6" authorId="0" shapeId="0" xr:uid="{00000000-0006-0000-0400-00000B000000}">
      <text>
        <r>
          <rPr>
            <sz val="11"/>
            <color theme="1"/>
            <rFont val="ＭＳ Ｐゴシック"/>
            <family val="2"/>
            <scheme val="minor"/>
          </rPr>
          <t>用途：被扶養者になった日（届出の異動年月日）。</t>
        </r>
      </text>
    </comment>
    <comment ref="L6" authorId="0" shapeId="0" xr:uid="{00000000-0006-0000-0400-00000C000000}">
      <text>
        <r>
          <rPr>
            <sz val="11"/>
            <color theme="1"/>
            <rFont val="ＭＳ Ｐゴシック"/>
            <family val="2"/>
            <scheme val="minor"/>
          </rPr>
          <t>用途：国民年金 第3号被保険者の該当（配偶者）。第3号の届出要否。</t>
        </r>
      </text>
    </comment>
    <comment ref="M6" authorId="0" shapeId="0" xr:uid="{00000000-0006-0000-0400-00000D000000}">
      <text>
        <r>
          <rPr>
            <sz val="11"/>
            <color theme="1"/>
            <rFont val="ＭＳ Ｐゴシック"/>
            <family val="2"/>
            <scheme val="minor"/>
          </rPr>
          <t>用途：連絡事項。自由記入。</t>
        </r>
      </text>
    </comment>
    <comment ref="P6" authorId="0" shapeId="0" xr:uid="{00000000-0006-0000-0400-00000E000000}">
      <text>
        <r>
          <rPr>
            <sz val="11"/>
            <color theme="1"/>
            <rFont val="ＭＳ Ｐゴシック"/>
            <family val="2"/>
            <scheme val="minor"/>
          </rPr>
          <t>用途：別居している被扶養者の住所（生計維持・仕送りの確認）。同居の方は記入不要です。</t>
        </r>
      </text>
    </comment>
  </commentList>
</comments>
</file>

<file path=xl/sharedStrings.xml><?xml version="1.0" encoding="utf-8"?>
<sst xmlns="http://schemas.openxmlformats.org/spreadsheetml/2006/main" count="461" uniqueCount="398">
  <si>
    <t>入社時 従業員情報 受領フォーム</t>
  </si>
  <si>
    <t>はじめにお読みください（記入要領）</t>
  </si>
  <si>
    <t>この書類について</t>
  </si>
  <si>
    <t>事務所名</t>
  </si>
  <si>
    <t>みなの社会保険労務士事務所</t>
  </si>
  <si>
    <t>お問い合わせ</t>
  </si>
  <si>
    <t>076-460-2562 / contact@minano-sr.com</t>
  </si>
  <si>
    <t>バージョン</t>
  </si>
  <si>
    <t>1.0（更新日 2026-09-11）</t>
  </si>
  <si>
    <t>目的</t>
  </si>
  <si>
    <t>健康保険・厚生年金保険と雇用保険の資格取得手続きに必要な情報をご記入いただくフォームです。</t>
  </si>
  <si>
    <t>入力の流れ（所要時間の目安：1名あたり 5 分ほど）</t>
  </si>
  <si>
    <t>STEP 1</t>
  </si>
  <si>
    <t>シート『⓪ 事業所設定』をご記入ください（会社全体の情報。事業所の番号は届出に必ず要ります。2回目以降は「前回と同じ」で結構です）。</t>
  </si>
  <si>
    <t>STEP 2</t>
  </si>
  <si>
    <t>シート『① 従業員情報（本人）』の9行目から、1行に1名ずつご記入ください（58行目まで・50名分）。行の挿入はしないでください。挿入した行には自動計算の式が入らず、未入力を見逃したまま「提出可」と表示されます。</t>
  </si>
  <si>
    <t>STEP 3</t>
  </si>
  <si>
    <t>被扶養者がいる方は、シート『② 被扶養者情報』にも入力します（本人の『フォーム内No.』で紐付け）。</t>
  </si>
  <si>
    <t>STEP 4</t>
  </si>
  <si>
    <t>シート『提出チェック・添付・返送』の提出可否が「提出可」になったら、受任メールのリンクから案件ページを開き、このファイルをそのまま送ってください。</t>
  </si>
  <si>
    <t>色の凡例</t>
  </si>
  <si>
    <t>必須項目</t>
  </si>
  <si>
    <t>ヘッダーが薄い黄色。必ず入力してください。</t>
  </si>
  <si>
    <t>任意項目</t>
  </si>
  <si>
    <t>ヘッダーが薄い灰色。該当する場合に入力してください。【条件必須】と書かれた欄は、その条件に当てはまる方は必ず入力してください。</t>
  </si>
  <si>
    <t>自動計算</t>
  </si>
  <si>
    <t>灰色。自動で計算・判定されます（上書きしないでください）。</t>
  </si>
  <si>
    <t>未入力の警告</t>
  </si>
  <si>
    <t>必須なのに空欄のセルが薄い赤で点灯します。入力すると消えます。</t>
  </si>
  <si>
    <t>形式の警告</t>
  </si>
  <si>
    <t>桁数・全角カナ・姓名間スペース・日付の形式が想定と違うと薄い橙で点灯します。</t>
  </si>
  <si>
    <t>対象外（記入不要）</t>
  </si>
  <si>
    <t>暗い灰＋斜線。雇用期間の定め＝なし のときの契約満了日など、記入が不要な欄です。</t>
  </si>
  <si>
    <t>問題なし</t>
  </si>
  <si>
    <t>薄い緑。年齢注記などで注意事項が無く、問題ないことを示します。</t>
  </si>
  <si>
    <t>判定：加入</t>
  </si>
  <si>
    <t>加入対象の目安。薄い緑。</t>
  </si>
  <si>
    <t>判定：対象外</t>
  </si>
  <si>
    <t>加入対象外の目安。薄い灰色。</t>
  </si>
  <si>
    <t>加入判定について（重要）</t>
  </si>
  <si>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</si>
  <si>
    <t>マイナンバー等 機微情報の取扱い</t>
  </si>
  <si>
    <t>入力時</t>
  </si>
  <si>
    <t>マイナンバー（12桁）は半角数字・ハイフン無しで入力できます。会社所定の安全な経路で別提出する場合は、番号を入力せず『別経路提出』を選んでください。入社時点で未回収の場合は『後日提出』を選択します。</t>
  </si>
  <si>
    <t>返送方法</t>
  </si>
  <si>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</si>
  <si>
    <t>社内保管</t>
  </si>
  <si>
    <t>記入途中のファイルは関係者以外がアクセスできない場所に保管し、提出後は社内ルールに従って適切に削除・保管してください。</t>
  </si>
  <si>
    <t>入社時点で情報が揃わないとき（必須項目の書き方）</t>
  </si>
  <si>
    <t>本人にご確認いただく欄</t>
  </si>
  <si>
    <t>本人にご確認いただく欄は、当事務所の書式『入社時 本人情報記入シート』（https://minano-sr.com/shoshiki/D-52.html）を印刷してご本人に記入いただくと、そのままこのフォームに転記できます。</t>
  </si>
  <si>
    <t>基本の考え方</t>
  </si>
  <si>
    <t>入社時点でどうしても分からない欄は、空欄のまま備考に『○○は後日提出』とご記入ください。分かり次第ご連絡いただければ当方で補います。下記は特に間違えやすい番号類の扱いです。</t>
  </si>
  <si>
    <t>基礎年金番号</t>
  </si>
  <si>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</si>
  <si>
    <t>雇用保険被保険者番号</t>
  </si>
  <si>
    <t>初めて就職する方・前職が無い方は空欄で構いません（新しく番号を取得します）。前職はあるが番号が不明なときは『後日提出』を選択してください。</t>
  </si>
  <si>
    <t>2か月超／31日以上 見込み</t>
  </si>
  <si>
    <t>この2列は自動表示です（入力不要）。雇用期間の定め・契約満了日・更新の見込みを入れると自動で判定されます。</t>
  </si>
  <si>
    <t>困ったときは</t>
  </si>
  <si>
    <t>入力方法が分からない・選択肢に当てはまるものが無い・判定結果に疑問がある等、どんなことでも上記『お問い合わせ』先（076-460-2562 / contact@minano-sr.com）までお気軽にご連絡ください。</t>
  </si>
  <si>
    <t>入社時 従業員情報　提出チェック・添付・返送</t>
  </si>
  <si>
    <t>このシートは貴社（ご担当者さま）が、入力 → 提出前の確認 → 当事務所への返送まで迷わず進めるための案内です。本体シートをご記入のうえ、最後にここをご確認ください。</t>
  </si>
  <si>
    <t>① 提出前チェック</t>
  </si>
  <si>
    <t>貴社名</t>
  </si>
  <si>
    <t>貴社名をご記入ください。</t>
  </si>
  <si>
    <t>ご入力担当者名</t>
  </si>
  <si>
    <t>このフォームをご記入された方のお名前。</t>
  </si>
  <si>
    <t>ご担当者 連絡先</t>
  </si>
  <si>
    <t>電話番号またはメールアドレス。確認時の連絡用。</t>
  </si>
  <si>
    <t>記入日</t>
  </si>
  <si>
    <t>ご記入（最終確認）日。</t>
  </si>
  <si>
    <t>対象者数（自動）</t>
  </si>
  <si>
    <t>本体シートに入力された件数を自動表示します。</t>
  </si>
  <si>
    <t>必須の未入力 残（自動）</t>
  </si>
  <si>
    <t>未入力の必須項目の残数。0件になるまでご記入ください（本体の薄赤・行ステータス参照）。</t>
  </si>
  <si>
    <t>完了率（自動）</t>
  </si>
  <si>
    <t>必須項目の充足率。</t>
  </si>
  <si>
    <t>提出可否（自動）</t>
  </si>
  <si>
    <t>⓪事業所設定・①本体・②被扶養者のすべてに必須の未入力が無ければ『提出可』。</t>
  </si>
  <si>
    <t>被扶養者の突合（自動）</t>
  </si>
  <si>
    <t>①で『被扶養者の有無＝あり』の人数と、②に入力された対象者の人数を突き合わせます。</t>
  </si>
  <si>
    <t>事務所への連絡事項</t>
  </si>
  <si>
    <t>不明点・特記事項があればご記入ください（任意）。</t>
  </si>
  <si>
    <t>② 一緒に送っていただく書類</t>
  </si>
  <si>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</si>
  <si>
    <t>この手続きで必要になるもの</t>
  </si>
  <si>
    <t>（案件ページの一覧が正です）</t>
  </si>
  <si>
    <t>マイナンバー確認資料</t>
  </si>
  <si>
    <t>個人番号カード・通知カード・マイナンバー記載の住民票など。フォームへ直接入力しない場合は安全な別経路で提出。</t>
  </si>
  <si>
    <t>基礎年金番号がわかる資料</t>
  </si>
  <si>
    <t>年金手帳・基礎年金番号通知書など。マイナンバーで提出する場合は省略可（不明は『後日提出』）。</t>
  </si>
  <si>
    <t>雇用保険被保険者番号がわかる資料</t>
  </si>
  <si>
    <t>前職の離職票・雇用保険被保険者証。新卒・前職なしは新規取得（『該当なし』）。</t>
  </si>
  <si>
    <t>扶養に入れる家族の確認資料（被扶養者がいる場合）</t>
  </si>
  <si>
    <t>続柄・収入のわかる資料。被扶養者シート②もご記入ください。</t>
  </si>
  <si>
    <t>在留カード（外国籍の場合）</t>
  </si>
  <si>
    <t>在留資格・在留期間の確認に使用。</t>
  </si>
  <si>
    <t>給与振込口座の資料（口座情報が必要な運用の場合）</t>
  </si>
  <si>
    <t>貴社の運用で必要な場合のみ。</t>
  </si>
  <si>
    <t>③ 当事務所への返送について</t>
  </si>
  <si>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</si>
  <si>
    <t>④ 入力の補足（情報が揃わないとき）</t>
  </si>
  <si>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</si>
  <si>
    <t>⓪ 事業所設定</t>
  </si>
  <si>
    <t>最初に一度だけ設定してください。①従業員情報シートの加入判定がこの設定を参照します。</t>
  </si>
  <si>
    <t>【企業規模要件】特定適用事業所の人数要件は、2027年10月以降に 51人→（順次）と段階的に縮小される予定です（2024/10時点は51人以上）。本フォームの企業規模区分は、下の被保険者数の設定値で判定します。</t>
  </si>
  <si>
    <t>【所定内賃金 8.8万円要件】2026年10月に撤廃が予定されています。下の『判定基準日』が 2026/10/1 以降のとき、本要件は自動的に無効化されます。</t>
  </si>
  <si>
    <t>【必】 会社名</t>
  </si>
  <si>
    <t>適用事業所の名称。</t>
  </si>
  <si>
    <t>【任】 法人番号（13桁）</t>
  </si>
  <si>
    <t>国税庁の13桁の法人番号。</t>
  </si>
  <si>
    <t>【必】 健康保険の種類</t>
  </si>
  <si>
    <t>協会けんぽ／健康保険組合 のいずれか。</t>
  </si>
  <si>
    <t>【必】 厚生年金保険の被保険者数</t>
  </si>
  <si>
    <t>同一法人番号の全適用事業所の合算。短時間労働者本人・70歳以上で健保のみの者は含めない。</t>
  </si>
  <si>
    <t>【自動】 〔自動〕企業規模区分</t>
  </si>
  <si>
    <t>被保険者数 51人以上で『特定適用事業所』。自動表示。</t>
  </si>
  <si>
    <t>【必】 任意特定適用事業所の申出</t>
  </si>
  <si>
    <t>50人以下でも労使合意で短時間労働者に適用する場合は『あり』。</t>
  </si>
  <si>
    <t>【自動】 〔自動〕短時間労働者への適用</t>
  </si>
  <si>
    <t>被保険者数51人以上、または任意申出『あり』で『適用あり』。</t>
  </si>
  <si>
    <t>【必】 正社員の1週間の所定労働時間(h)</t>
  </si>
  <si>
    <t>4分の3基準の分母。通常の労働者（正社員）の契約上の週所定。</t>
  </si>
  <si>
    <t>【必】 正社員の1か月の所定労働日数(日)</t>
  </si>
  <si>
    <t>4分の3基準の分母。通常の労働者（正社員）の月所定日数。</t>
  </si>
  <si>
    <t>【自動】 〔自動〕4分の3しきい値（週・h）</t>
  </si>
  <si>
    <t>正社員週所定 × 0.75。これ以上で4分の3基準（週）を満たす。</t>
  </si>
  <si>
    <t>【自動】 〔自動〕4分の3しきい値（月・日）</t>
  </si>
  <si>
    <t>正社員月所定日数 × 0.75。これ以上で4分の3基準（月）を満たす。</t>
  </si>
  <si>
    <t>【必】 判定基準日</t>
  </si>
  <si>
    <t>賃金要件（8.8万円）の施行日分岐に使用。既定は本日。手入力で上書き可。</t>
  </si>
  <si>
    <t>【任】 〔参考〕事業所所在地の最低賃金(円)</t>
  </si>
  <si>
    <t>任意。参考情報として保持。</t>
  </si>
  <si>
    <t>【必】 健康保険・厚生年金の事業所整理記号</t>
  </si>
  <si>
    <t>毎月20日ごろ年金事務所から届く「保険料納入告知額・領収済額通知書」に載っています。口座振替の会社は別名の紙で届きます。例）12-アイウ　2回目以降のご注文で、前回お知らせいただいていれば「前回と同じ」とご記入ください。</t>
  </si>
  <si>
    <t>【必】 同 事業所番号</t>
  </si>
  <si>
    <t>同じ紙の、整理記号の隣にある番号です。5桁。　2回目以降のご注文で、前回お知らせいただいていれば「前回と同じ」とご記入ください。</t>
  </si>
  <si>
    <t>【必】 雇用保険の事業所番号</t>
  </si>
  <si>
    <t>「雇用保険適用事業所設置届 事業主控」または資格取得等確認通知書に載っています。4桁-6桁-1桁。例）1610-123456-7　2回目以降のご注文で、前回お知らせいただいていれば「前回と同じ」とご記入ください。</t>
  </si>
  <si>
    <t>① 従業員情報（本人）</t>
  </si>
  <si>
    <t>※加入判定は目安です。最終判断は社労士が行います。</t>
  </si>
  <si>
    <t>入力対象人数</t>
  </si>
  <si>
    <t>必須充足人数</t>
  </si>
  <si>
    <t>必須未入力 残件数</t>
  </si>
  <si>
    <t>形式エラー件数</t>
  </si>
  <si>
    <t>完了率</t>
  </si>
  <si>
    <t>A基本情報</t>
  </si>
  <si>
    <t>B雇用・勤務条件</t>
  </si>
  <si>
    <t>C賃金</t>
  </si>
  <si>
    <t>D加入判定（自動）</t>
  </si>
  <si>
    <t>E番号・本人確認</t>
  </si>
  <si>
    <t>F住所・連絡先</t>
  </si>
  <si>
    <t>G国籍</t>
  </si>
  <si>
    <t>Hその他</t>
  </si>
  <si>
    <t>I追加項目（職種・賃金要件・二以上勤務）</t>
  </si>
  <si>
    <t>フォーム内No.
【自動】</t>
  </si>
  <si>
    <t>氏名（漢字）
【必】</t>
  </si>
  <si>
    <t>氏名（フリガナ）
【必】</t>
  </si>
  <si>
    <t>性別
【必】</t>
  </si>
  <si>
    <t>生年月日
【必】</t>
  </si>
  <si>
    <t>年齢
【自動】</t>
  </si>
  <si>
    <t>入社日／資格取得日
【必】</t>
  </si>
  <si>
    <t>雇用形態
【必】</t>
  </si>
  <si>
    <t>雇用期間の定め
【必】</t>
  </si>
  <si>
    <t>契約満了日
【任】</t>
  </si>
  <si>
    <t>契約更新の見込み
【任】</t>
  </si>
  <si>
    <t>週の所定労働時間(h)
【必】</t>
  </si>
  <si>
    <t>月の所定労働日数(日)
【必】</t>
  </si>
  <si>
    <t>学生区分
【必】</t>
  </si>
  <si>
    <t>2か月超 雇用見込み
【自動】</t>
  </si>
  <si>
    <t>31日以上 雇用見込み
【自動】</t>
  </si>
  <si>
    <t>賃金形態
【必】</t>
  </si>
  <si>
    <t>時給・日給の単価(円)
【任】</t>
  </si>
  <si>
    <t>基本給(月額・円)
【必】</t>
  </si>
  <si>
    <t>固定手当(月額・円)
【任】</t>
  </si>
  <si>
    <t>通勤手当(1か月相当・円)
【任】</t>
  </si>
  <si>
    <t>現物給与(月額相当・円)
【任】</t>
  </si>
  <si>
    <t>報酬月額 合計
【自動】</t>
  </si>
  <si>
    <t>健保・厚年 加入判定
【自動】</t>
  </si>
  <si>
    <t>年齢注記
【自動】</t>
  </si>
  <si>
    <t>雇用保険 加入判定
【自動】</t>
  </si>
  <si>
    <t>マイナンバー(12桁)
【必】</t>
  </si>
  <si>
    <t>基礎年金番号(10桁)
【必】</t>
  </si>
  <si>
    <t>前職での雇用保険加入
【必】</t>
  </si>
  <si>
    <t>雇用保険被保険者番号(11桁)
【必】</t>
  </si>
  <si>
    <t>前職の事業所名(番号不明時)
【任】</t>
  </si>
  <si>
    <t>前職の退職年月日(番号不明時)
【任】</t>
  </si>
  <si>
    <t>郵便番号
【必】</t>
  </si>
  <si>
    <t>都道府県
【必】</t>
  </si>
  <si>
    <t>市区町村以下
【必】</t>
  </si>
  <si>
    <t>建物名・部屋番号
【任】</t>
  </si>
  <si>
    <t>電話番号
【任】</t>
  </si>
  <si>
    <t>国籍
【必】</t>
  </si>
  <si>
    <t>在留資格
【条件必須】外国籍のとき</t>
  </si>
  <si>
    <t>在留期間満了日
【条件必須】外国籍のとき</t>
  </si>
  <si>
    <t>ローマ字氏名
【条件必須】外国籍のとき</t>
  </si>
  <si>
    <t>資格確認書 発行要否
【必】</t>
  </si>
  <si>
    <t>被扶養者の有無
【必】</t>
  </si>
  <si>
    <t>備考
【任】</t>
  </si>
  <si>
    <t>職種（雇用保険）
【必】</t>
  </si>
  <si>
    <t>うち家族手当・精皆勤手当
(月額・円)
【任】</t>
  </si>
  <si>
    <t>他社でも社会保険に加入
【任】</t>
  </si>
  <si>
    <t>現物給与の種類
【条件必須】現物給与があるとき</t>
  </si>
  <si>
    <t>例</t>
  </si>
  <si>
    <t>山田 太郎</t>
  </si>
  <si>
    <t>ヤマダ タロウ</t>
  </si>
  <si>
    <t>男</t>
  </si>
  <si>
    <t>正社員</t>
  </si>
  <si>
    <t>なし</t>
  </si>
  <si>
    <t>学生ではない</t>
  </si>
  <si>
    <t>月給</t>
  </si>
  <si>
    <t>123456789012</t>
  </si>
  <si>
    <t>100-0001</t>
  </si>
  <si>
    <t>東京都</t>
  </si>
  <si>
    <t>千代田区千代田1-1</t>
  </si>
  <si>
    <t>〇〇マンション101</t>
  </si>
  <si>
    <t>03-1234-5678</t>
  </si>
  <si>
    <t>日本</t>
  </si>
  <si>
    <t>否（登録済み）</t>
  </si>
  <si>
    <t>あり</t>
  </si>
  <si>
    <t>← この行は記入例です。9行目からご記入ください（消しても構いません）</t>
  </si>
  <si>
    <t>事務的職業</t>
  </si>
  <si>
    <t>いいえ</t>
  </si>
  <si>
    <t>—</t>
  </si>
  <si>
    <t>② 被扶養者情報</t>
  </si>
  <si>
    <t>対象フォーム内No.
【必】</t>
  </si>
  <si>
    <t>フリガナ
【必】</t>
  </si>
  <si>
    <t>続柄
【必】</t>
  </si>
  <si>
    <t>同居・別居
【必】</t>
  </si>
  <si>
    <t>年間収入見込（円）
※万円ではありません
【必】</t>
  </si>
  <si>
    <t>職業
【任】</t>
  </si>
  <si>
    <t>被扶養者になった日
【必】</t>
  </si>
  <si>
    <t>国民年金 第3号該当
【任】</t>
  </si>
  <si>
    <t>ご住所（別居のとき）
【条件必須】別居のとき</t>
  </si>
  <si>
    <t>山田 花子</t>
  </si>
  <si>
    <t>ヤマダ ハナコ</t>
  </si>
  <si>
    <t>配偶者</t>
  </si>
  <si>
    <t>女</t>
  </si>
  <si>
    <t>210987654321</t>
  </si>
  <si>
    <t>同居</t>
  </si>
  <si>
    <t>パート勤務</t>
  </si>
  <si>
    <t>該当</t>
  </si>
  <si>
    <t>← この行は記入例です。8行目からご記入ください（消しても構いません）</t>
  </si>
  <si>
    <t>（同居のため記入不要）</t>
  </si>
  <si>
    <t>性別</t>
  </si>
  <si>
    <t>雇用形態</t>
  </si>
  <si>
    <t>賃金形態</t>
  </si>
  <si>
    <t>更新見込み</t>
  </si>
  <si>
    <t>後日提出</t>
  </si>
  <si>
    <t>番号提出状態</t>
  </si>
  <si>
    <t>あり/なし</t>
  </si>
  <si>
    <t>なし/あり</t>
  </si>
  <si>
    <t>学生区分</t>
  </si>
  <si>
    <t>前職雇保</t>
  </si>
  <si>
    <t>健保種類</t>
  </si>
  <si>
    <t>任意申出</t>
  </si>
  <si>
    <t>資格確認書</t>
  </si>
  <si>
    <t>続柄</t>
  </si>
  <si>
    <t>同居・別居</t>
  </si>
  <si>
    <t>第3号</t>
  </si>
  <si>
    <t>国籍</t>
  </si>
  <si>
    <t>都道府県</t>
  </si>
  <si>
    <t>職種</t>
  </si>
  <si>
    <t>現物給与の種類</t>
  </si>
  <si>
    <t>未定</t>
  </si>
  <si>
    <t>協会けんぽ</t>
  </si>
  <si>
    <t>要（マイナ保険証 未登録）</t>
  </si>
  <si>
    <t>北海道</t>
  </si>
  <si>
    <t>専門的・技術的職業</t>
  </si>
  <si>
    <t>社宅・寮</t>
  </si>
  <si>
    <t>契約社員</t>
  </si>
  <si>
    <t>日給</t>
  </si>
  <si>
    <t>更新の可能性あり</t>
  </si>
  <si>
    <t>別経路提出</t>
  </si>
  <si>
    <t>夜間・定時制・通信制</t>
  </si>
  <si>
    <t>健康保険組合</t>
  </si>
  <si>
    <t>子</t>
  </si>
  <si>
    <t>別居</t>
  </si>
  <si>
    <t>非該当</t>
  </si>
  <si>
    <t>外国</t>
  </si>
  <si>
    <t>青森県</t>
  </si>
  <si>
    <t>管理的職業</t>
  </si>
  <si>
    <t>食事</t>
  </si>
  <si>
    <t>パート</t>
  </si>
  <si>
    <t>時給</t>
  </si>
  <si>
    <t>更新しない</t>
  </si>
  <si>
    <t>昼間部の学生</t>
  </si>
  <si>
    <t>不明</t>
  </si>
  <si>
    <t>父</t>
  </si>
  <si>
    <t>岩手県</t>
  </si>
  <si>
    <t>定期券・通勤定期</t>
  </si>
  <si>
    <t>アルバイト</t>
  </si>
  <si>
    <t>年俸</t>
  </si>
  <si>
    <t>母</t>
  </si>
  <si>
    <t>宮城県</t>
  </si>
  <si>
    <t>販売の職業</t>
  </si>
  <si>
    <t>制服以外の被服</t>
  </si>
  <si>
    <t>役員</t>
  </si>
  <si>
    <t>その他</t>
  </si>
  <si>
    <t>祖父母</t>
  </si>
  <si>
    <t>秋田県</t>
  </si>
  <si>
    <t>サービスの職業</t>
  </si>
  <si>
    <t>兄弟姉妹</t>
  </si>
  <si>
    <t>山形県</t>
  </si>
  <si>
    <t>保安の職業</t>
  </si>
  <si>
    <t>福島県</t>
  </si>
  <si>
    <t>農林漁業の職業</t>
  </si>
  <si>
    <t>茨城県</t>
  </si>
  <si>
    <t>生産工程の職業</t>
  </si>
  <si>
    <t>栃木県</t>
  </si>
  <si>
    <t>輸送・機械運転の職業</t>
  </si>
  <si>
    <t>群馬県</t>
  </si>
  <si>
    <t>建設・採掘の職業</t>
  </si>
  <si>
    <t>埼玉県</t>
  </si>
  <si>
    <t>運搬・清掃・包装等の職業</t>
  </si>
  <si>
    <t>千葉県</t>
  </si>
  <si>
    <t>分からない</t>
  </si>
  <si>
    <t>神奈川県</t>
  </si>
  <si>
    <t>新潟県</t>
  </si>
  <si>
    <t>富山県</t>
  </si>
  <si>
    <t>石川県</t>
  </si>
  <si>
    <t>福井県</t>
  </si>
  <si>
    <t>山梨県</t>
  </si>
  <si>
    <t>長野県</t>
  </si>
  <si>
    <t>岐阜県</t>
  </si>
  <si>
    <t>静岡県</t>
  </si>
  <si>
    <t>愛知県</t>
  </si>
  <si>
    <t>三重県</t>
  </si>
  <si>
    <t>滋賀県</t>
  </si>
  <si>
    <t>京都府</t>
  </si>
  <si>
    <t>大阪府</t>
  </si>
  <si>
    <t>兵庫県</t>
  </si>
  <si>
    <t>奈良県</t>
  </si>
  <si>
    <t>和歌山県</t>
  </si>
  <si>
    <t>鳥取県</t>
  </si>
  <si>
    <t>島根県</t>
  </si>
  <si>
    <t>岡山県</t>
  </si>
  <si>
    <t>広島県</t>
  </si>
  <si>
    <t>山口県</t>
  </si>
  <si>
    <t>徳島県</t>
  </si>
  <si>
    <t>香川県</t>
  </si>
  <si>
    <t>愛媛県</t>
  </si>
  <si>
    <t>高知県</t>
  </si>
  <si>
    <t>福岡県</t>
  </si>
  <si>
    <t>佐賀県</t>
  </si>
  <si>
    <t>長崎県</t>
  </si>
  <si>
    <t>熊本県</t>
  </si>
  <si>
    <t>大分県</t>
  </si>
  <si>
    <t>宮崎県</t>
  </si>
  <si>
    <t>鹿児島県</t>
  </si>
  <si>
    <t>沖縄県</t>
  </si>
  <si>
    <t>データシート</t>
  </si>
  <si>
    <t>開始行</t>
  </si>
  <si>
    <t>終了行</t>
  </si>
  <si>
    <t>見出し行</t>
  </si>
  <si>
    <t>B</t>
  </si>
  <si>
    <t>kanji</t>
  </si>
  <si>
    <t>氏名（漢字）</t>
  </si>
  <si>
    <t>C</t>
  </si>
  <si>
    <t>kana</t>
  </si>
  <si>
    <t>氏名（フリガナ）</t>
  </si>
  <si>
    <t>E</t>
  </si>
  <si>
    <t>date</t>
  </si>
  <si>
    <t>生年月日</t>
  </si>
  <si>
    <t>G</t>
  </si>
  <si>
    <t>入社日／資格取得日</t>
  </si>
  <si>
    <t>J</t>
  </si>
  <si>
    <t>契約満了日</t>
  </si>
  <si>
    <t>AA</t>
  </si>
  <si>
    <t>num</t>
  </si>
  <si>
    <t>マイナンバー(12桁)</t>
  </si>
  <si>
    <t>AB</t>
  </si>
  <si>
    <t>numh</t>
  </si>
  <si>
    <t>基礎年金番号(10桁)</t>
  </si>
  <si>
    <t>AD</t>
  </si>
  <si>
    <t>雇用保険被保険者番号(11桁)</t>
  </si>
  <si>
    <t>AE</t>
  </si>
  <si>
    <t>zen</t>
  </si>
  <si>
    <t>前職の事業所名(番号不明時)</t>
  </si>
  <si>
    <t>AF</t>
  </si>
  <si>
    <t>前職の退職年月日(番号不明時)</t>
  </si>
  <si>
    <t>AG</t>
  </si>
  <si>
    <t>郵便番号</t>
  </si>
  <si>
    <t>AI</t>
  </si>
  <si>
    <t>市区町村以下</t>
  </si>
  <si>
    <t>AJ</t>
  </si>
  <si>
    <t>建物名・部屋番号</t>
  </si>
  <si>
    <t>AK</t>
  </si>
  <si>
    <t>電話番号</t>
  </si>
  <si>
    <t>AN</t>
  </si>
  <si>
    <t>在留期間満了日</t>
  </si>
  <si>
    <t>AO</t>
  </si>
  <si>
    <t>latin</t>
  </si>
  <si>
    <t>ローマ字氏名</t>
  </si>
  <si>
    <t>フリガナ</t>
  </si>
  <si>
    <t>K</t>
  </si>
  <si>
    <t>被扶養者になった日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</si>
</sst>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0&quot;件&quot;"/>
    <numFmt numFmtId="178" formatCode="0.0"/>
    <numFmt numFmtId="179" formatCode="0&quot;名&quot;"/>
    <numFmt numFmtId="180" formatCode="#,##0&quot;円&quot;"/>
  </numFmts>
  <fonts count="23">
    <font>
      <sz val="11"/>
      <color theme="1"/>
      <name val="ＭＳ Ｐゴシック"/>
      <family val="2"/>
      <scheme val="minor"/>
    </font>
    <font>
      <b/>
      <sz val="11"/>
      <color rgb="FFFFFFFF"/>
      <name val="游ゴシック"/>
      <family val="3"/>
      <charset val="128"/>
    </font>
    <font>
      <sz val="11"/>
      <color rgb="FF000000"/>
      <name val="游ゴシック"/>
      <family val="3"/>
      <charset val="128"/>
    </font>
    <font>
      <b/>
      <sz val="16"/>
      <color rgb="FF1F4E79"/>
      <name val="游ゴシック"/>
      <family val="3"/>
      <charset val="128"/>
    </font>
    <font>
      <sz val="10"/>
      <color rgb="FF555555"/>
      <name val="游ゴシック"/>
      <family val="3"/>
      <charset val="128"/>
    </font>
    <font>
      <sz val="11"/>
      <color rgb="FF7F6000"/>
      <name val="游ゴシック"/>
      <family val="3"/>
      <charset val="128"/>
    </font>
    <font>
      <b/>
      <sz val="11"/>
      <color rgb="FF000000"/>
      <name val="游ゴシック"/>
      <family val="3"/>
      <charset val="128"/>
    </font>
    <font>
      <sz val="12"/>
      <color rgb="FF555555"/>
      <name val="游ゴシック"/>
      <family val="3"/>
      <charset val="128"/>
    </font>
    <font>
      <b/>
      <sz val="10"/>
      <color rgb="FFC00000"/>
      <name val="游ゴシック"/>
      <family val="3"/>
      <charset val="128"/>
    </font>
    <font>
      <b/>
      <sz val="10"/>
      <color rgb="FF1F4E79"/>
      <name val="游ゴシック"/>
      <family val="3"/>
      <charset val="128"/>
    </font>
    <font>
      <b/>
      <sz val="14"/>
      <color rgb="FF000000"/>
      <name val="游ゴシック"/>
      <family val="3"/>
      <charset val="128"/>
    </font>
    <font>
      <b/>
      <sz val="10"/>
      <color rgb="FF1F3864"/>
      <name val="游ゴシック"/>
      <family val="3"/>
      <charset val="128"/>
    </font>
    <font>
      <b/>
      <sz val="10"/>
      <color rgb="FF000000"/>
      <name val="游ゴシック"/>
      <family val="3"/>
      <charset val="128"/>
    </font>
    <font>
      <b/>
      <i/>
      <sz val="11"/>
      <color rgb="FF2E75B6"/>
      <name val="游ゴシック"/>
      <family val="3"/>
      <charset val="128"/>
    </font>
    <font>
      <i/>
      <sz val="11"/>
      <color rgb="FF000000"/>
      <name val="游ゴシック"/>
      <family val="3"/>
      <charset val="128"/>
    </font>
    <font>
      <b/>
      <sz val="13"/>
      <color rgb="FF000000"/>
      <name val="游ゴシック"/>
      <family val="3"/>
      <charset val="128"/>
    </font>
    <font>
      <b/>
      <sz val="18"/>
      <color rgb="FF1F4E79"/>
      <name val="游ゴシック"/>
      <family val="3"/>
      <charset val="128"/>
    </font>
    <font>
      <b/>
      <sz val="12"/>
      <color rgb="FF555555"/>
      <name val="游ゴシック"/>
      <family val="3"/>
      <charset val="128"/>
    </font>
    <font>
      <b/>
      <sz val="12"/>
      <color rgb="FFFFFFFF"/>
      <name val="游ゴシック"/>
      <family val="3"/>
      <charset val="128"/>
    </font>
    <font>
      <sz val="10"/>
      <color rgb="FF000000"/>
      <name val="游ゴシック"/>
      <family val="3"/>
      <charset val="128"/>
    </font>
    <font>
      <sz val="11"/>
      <color rgb="FF555555"/>
      <name val="游ゴシック"/>
      <family val="3"/>
      <charset val="128"/>
    </font>
    <font>
      <b/>
      <sz val="11"/>
      <color rgb="FF1F3864"/>
      <name val="游ゴシック"/>
      <family val="3"/>
      <charset val="128"/>
    </font>
    <font>
      <sz val="6"/>
      <name val="ＭＳ Ｐゴシック"/>
      <family val="3"/>
      <charset val="128"/>
      <scheme val="minor"/>
    </font>
  </fonts>
  <fills count="20">
    <fill>
      <patternFill patternType="none"/>
    </fill>
    <fill>
      <patternFill patternType="gray125"/>
    </fill>
    <fill>
      <patternFill patternType="solid">
        <fgColor rgb="FF808080"/>
      </patternFill>
    </fill>
    <fill>
      <patternFill patternType="solid">
        <fgColor rgb="FFFFF8E1"/>
      </patternFill>
    </fill>
    <fill>
      <patternFill patternType="solid">
        <fgColor rgb="FFFFF2CC"/>
      </patternFill>
    </fill>
    <fill>
      <patternFill patternType="solid">
        <fgColor rgb="FFE7E6E6"/>
      </patternFill>
    </fill>
    <fill>
      <patternFill patternType="solid">
        <fgColor rgb="FFD9D9D9"/>
      </patternFill>
    </fill>
    <fill>
      <patternFill patternType="solid">
        <fgColor rgb="FFEAF1FB"/>
      </patternFill>
    </fill>
    <fill>
      <patternFill patternType="solid">
        <fgColor rgb="FFFFFFFF"/>
      </patternFill>
    </fill>
    <fill>
      <patternFill patternType="solid">
        <fgColor rgb="FFD9E1F2"/>
      </patternFill>
    </fill>
    <fill>
      <patternFill patternType="solid">
        <fgColor rgb="FFDDEBF7"/>
      </patternFill>
    </fill>
    <fill>
      <patternFill patternType="solid">
        <fgColor rgb="FFE2EFDA"/>
      </patternFill>
    </fill>
    <fill>
      <patternFill patternType="solid">
        <fgColor rgb="FFFCE4D6"/>
      </patternFill>
    </fill>
    <fill>
      <patternFill patternType="solid">
        <fgColor rgb="FFE2F0D9"/>
      </patternFill>
    </fill>
    <fill>
      <patternFill patternType="solid">
        <fgColor rgb="FFEDEDED"/>
      </patternFill>
    </fill>
    <fill>
      <patternFill patternType="solid">
        <fgColor rgb="FF1F4E79"/>
      </patternFill>
    </fill>
    <fill>
      <patternFill patternType="solid">
        <fgColor rgb="FFFCE4E4"/>
      </patternFill>
    </fill>
    <fill>
      <patternFill patternType="solid">
        <fgColor rgb="FF595959"/>
      </patternFill>
    </fill>
    <fill>
      <patternFill patternType="solid">
        <fgColor rgb="FFF2F2F2"/>
      </patternFill>
    </fill>
    <fill>
      <patternFill patternType="solid">
        <fgColor rgb="FFBDD7EE"/>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74">
    <xf numFmtId="0" fontId="0" fillId="0" borderId="0" xfId="0"/>
    <xf numFmtId="0" fontId="16" fillId="0" borderId="0" xfId="0" applyFont="1"/>
    <xf numFmtId="0" fontId="17" fillId="0" borderId="0" xfId="0" applyFont="1"/>
    <xf numFmtId="0" fontId="11" fillId="0" borderId="0" xfId="0" applyFont="1" applyAlignment="1">
      <alignment horizontal="left" vertical="top" wrapText="1"/>
    </xf>
    <xf numFmtId="0" fontId="19" fillId="0" borderId="0" xfId="0" applyFont="1" applyAlignment="1">
      <alignment horizontal="left" vertical="top" wrapText="1"/>
    </xf>
    <xf numFmtId="0" fontId="12" fillId="4"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12" fillId="12" borderId="1" xfId="0" applyFont="1" applyFill="1" applyBorder="1" applyAlignment="1">
      <alignment horizontal="center" vertical="center" wrapText="1"/>
    </xf>
    <xf numFmtId="0" fontId="12" fillId="17"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3" fillId="0" borderId="0" xfId="0" applyFont="1"/>
    <xf numFmtId="0" fontId="21" fillId="4" borderId="1" xfId="0" applyFont="1" applyFill="1" applyBorder="1" applyAlignment="1">
      <alignment horizontal="left" vertical="center" wrapText="1"/>
    </xf>
    <xf numFmtId="0" fontId="2" fillId="0" borderId="1" xfId="0" applyFont="1" applyBorder="1" applyAlignment="1" applyProtection="1">
      <alignment horizontal="center" vertical="center" wrapText="1"/>
      <protection locked="0"/>
    </xf>
    <xf numFmtId="0" fontId="20" fillId="0" borderId="1" xfId="0" applyFont="1" applyBorder="1" applyAlignment="1">
      <alignment horizontal="left" vertical="top" wrapText="1"/>
    </xf>
    <xf numFmtId="176" fontId="2" fillId="0" borderId="1" xfId="0" applyNumberFormat="1" applyFont="1" applyBorder="1" applyAlignment="1" applyProtection="1">
      <alignment horizontal="center" vertical="center" wrapText="1"/>
      <protection locked="0"/>
    </xf>
    <xf numFmtId="0" fontId="21" fillId="6" borderId="1" xfId="0" applyFont="1" applyFill="1" applyBorder="1" applyAlignment="1">
      <alignment horizontal="left" vertical="center" wrapText="1"/>
    </xf>
    <xf numFmtId="177" fontId="2" fillId="6" borderId="1" xfId="0" applyNumberFormat="1" applyFont="1" applyFill="1" applyBorder="1" applyAlignment="1">
      <alignment horizontal="center" vertical="center" wrapText="1"/>
    </xf>
    <xf numFmtId="9" fontId="2"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2" fillId="0" borderId="1" xfId="0" applyFont="1" applyBorder="1" applyAlignment="1">
      <alignment horizontal="left" vertical="top" wrapText="1"/>
    </xf>
    <xf numFmtId="0" fontId="4" fillId="0" borderId="0" xfId="0" applyFont="1"/>
    <xf numFmtId="0" fontId="6" fillId="4" borderId="1" xfId="0" applyFont="1" applyFill="1" applyBorder="1" applyAlignment="1">
      <alignment horizontal="left" vertical="center" wrapText="1"/>
    </xf>
    <xf numFmtId="0" fontId="2" fillId="0" borderId="1" xfId="0" applyFont="1" applyBorder="1" applyAlignment="1" applyProtection="1">
      <alignment horizontal="left" vertical="center" wrapText="1"/>
      <protection locked="0"/>
    </xf>
    <xf numFmtId="0" fontId="7" fillId="0" borderId="1" xfId="0" applyFont="1" applyBorder="1" applyAlignment="1">
      <alignment horizontal="left" vertical="top" wrapText="1"/>
    </xf>
    <xf numFmtId="0" fontId="2" fillId="5" borderId="1" xfId="0" applyFont="1" applyFill="1" applyBorder="1" applyAlignment="1">
      <alignment horizontal="left" vertical="center" wrapText="1"/>
    </xf>
    <xf numFmtId="49" fontId="2" fillId="0" borderId="1" xfId="0" applyNumberFormat="1" applyFont="1" applyBorder="1" applyAlignment="1" applyProtection="1">
      <alignment horizontal="left" vertical="center" wrapText="1"/>
      <protection locked="0"/>
    </xf>
    <xf numFmtId="0" fontId="2" fillId="6" borderId="1" xfId="0" applyFont="1" applyFill="1" applyBorder="1" applyAlignment="1">
      <alignment horizontal="left" vertical="center" wrapText="1"/>
    </xf>
    <xf numFmtId="178" fontId="2" fillId="6" borderId="1" xfId="0" applyNumberFormat="1" applyFont="1" applyFill="1" applyBorder="1" applyAlignment="1">
      <alignment horizontal="left" vertical="center" wrapText="1"/>
    </xf>
    <xf numFmtId="176" fontId="2" fillId="0" borderId="1" xfId="0" applyNumberFormat="1" applyFont="1" applyBorder="1" applyAlignment="1" applyProtection="1">
      <alignment horizontal="left" vertical="center" wrapText="1"/>
      <protection locked="0"/>
    </xf>
    <xf numFmtId="0" fontId="0" fillId="7" borderId="0" xfId="0" applyFill="1"/>
    <xf numFmtId="0" fontId="13" fillId="10"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176" fontId="14" fillId="10" borderId="1" xfId="0" applyNumberFormat="1" applyFont="1" applyFill="1" applyBorder="1" applyAlignment="1">
      <alignment horizontal="center" vertical="center" wrapText="1"/>
    </xf>
    <xf numFmtId="180" fontId="14" fillId="10" borderId="1" xfId="0" applyNumberFormat="1" applyFont="1" applyFill="1" applyBorder="1" applyAlignment="1">
      <alignment horizontal="center" vertical="center" wrapText="1"/>
    </xf>
    <xf numFmtId="49" fontId="14" fillId="10" borderId="1" xfId="0" applyNumberFormat="1"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3" fontId="2" fillId="0" borderId="1" xfId="0" applyNumberFormat="1" applyFont="1" applyBorder="1" applyAlignment="1" applyProtection="1">
      <alignment horizontal="center" vertical="center" wrapText="1"/>
      <protection locked="0"/>
    </xf>
    <xf numFmtId="180" fontId="2" fillId="6" borderId="1" xfId="0" applyNumberFormat="1" applyFont="1" applyFill="1" applyBorder="1" applyAlignment="1">
      <alignment horizontal="center" vertical="center" wrapText="1"/>
    </xf>
    <xf numFmtId="49" fontId="2" fillId="0" borderId="1" xfId="0" applyNumberFormat="1" applyFont="1" applyBorder="1" applyAlignment="1" applyProtection="1">
      <alignment horizontal="center" vertical="center" wrapText="1"/>
      <protection locked="0"/>
    </xf>
    <xf numFmtId="0" fontId="1" fillId="2" borderId="0" xfId="0" applyFont="1" applyFill="1" applyAlignment="1">
      <alignment horizontal="center" vertical="center" wrapText="1"/>
    </xf>
    <xf numFmtId="0" fontId="2" fillId="0" borderId="0" xfId="0" applyFont="1"/>
    <xf numFmtId="0" fontId="0" fillId="0" borderId="3" xfId="0" applyBorder="1"/>
    <xf numFmtId="0" fontId="18" fillId="15" borderId="0" xfId="0" applyFont="1" applyFill="1" applyAlignment="1">
      <alignment horizontal="left" vertical="center" wrapText="1"/>
    </xf>
    <xf numFmtId="0" fontId="0" fillId="0" borderId="0" xfId="0"/>
    <xf numFmtId="0" fontId="20" fillId="0" borderId="0" xfId="0" applyFont="1" applyAlignment="1">
      <alignment horizontal="left" vertical="top" wrapText="1"/>
    </xf>
    <xf numFmtId="0" fontId="6" fillId="8" borderId="1" xfId="0" applyFont="1" applyFill="1" applyBorder="1" applyAlignment="1" applyProtection="1">
      <alignment horizontal="left" vertical="top" wrapText="1"/>
      <protection locked="0"/>
    </xf>
    <xf numFmtId="0" fontId="0" fillId="0" borderId="2" xfId="0" applyBorder="1" applyProtection="1">
      <protection locked="0"/>
    </xf>
    <xf numFmtId="0" fontId="0" fillId="0" borderId="3" xfId="0" applyBorder="1" applyProtection="1">
      <protection locked="0"/>
    </xf>
    <xf numFmtId="0" fontId="3" fillId="0" borderId="0" xfId="0" applyFont="1"/>
    <xf numFmtId="0" fontId="20" fillId="3" borderId="0" xfId="0" applyFont="1" applyFill="1" applyAlignment="1">
      <alignment horizontal="left" vertical="top" wrapText="1"/>
    </xf>
    <xf numFmtId="0" fontId="2" fillId="8" borderId="1" xfId="0" applyFont="1" applyFill="1" applyBorder="1" applyAlignment="1" applyProtection="1">
      <alignment horizontal="left" vertical="top" wrapText="1"/>
      <protection locked="0"/>
    </xf>
    <xf numFmtId="0" fontId="5" fillId="3" borderId="0" xfId="0" applyFont="1" applyFill="1" applyAlignment="1">
      <alignment horizontal="left" vertical="top" wrapText="1"/>
    </xf>
    <xf numFmtId="177" fontId="10" fillId="8" borderId="1" xfId="0" applyNumberFormat="1" applyFont="1" applyFill="1" applyBorder="1" applyAlignment="1">
      <alignment horizontal="center" vertical="center" wrapText="1"/>
    </xf>
    <xf numFmtId="0" fontId="0" fillId="0" borderId="3" xfId="0" applyBorder="1"/>
    <xf numFmtId="0" fontId="9" fillId="7" borderId="0" xfId="0" applyFont="1" applyFill="1" applyAlignment="1">
      <alignment horizontal="center" vertical="center" wrapText="1"/>
    </xf>
    <xf numFmtId="0" fontId="11" fillId="12" borderId="1" xfId="0" applyFont="1" applyFill="1" applyBorder="1" applyAlignment="1">
      <alignment horizontal="center" vertical="center" wrapText="1"/>
    </xf>
    <xf numFmtId="0" fontId="0" fillId="0" borderId="2" xfId="0" applyBorder="1"/>
    <xf numFmtId="0" fontId="11" fillId="14" borderId="1" xfId="0" applyFont="1" applyFill="1" applyBorder="1" applyAlignment="1">
      <alignment horizontal="center" vertical="center" wrapText="1"/>
    </xf>
    <xf numFmtId="0" fontId="11" fillId="13" borderId="1" xfId="0" applyFont="1" applyFill="1" applyBorder="1" applyAlignment="1">
      <alignment horizontal="center" vertical="center" wrapText="1"/>
    </xf>
    <xf numFmtId="9" fontId="10" fillId="8" borderId="1" xfId="0" applyNumberFormat="1" applyFont="1" applyFill="1" applyBorder="1" applyAlignment="1">
      <alignment horizontal="center" vertical="center" wrapText="1"/>
    </xf>
    <xf numFmtId="179" fontId="10" fillId="8" borderId="1" xfId="0" applyNumberFormat="1" applyFont="1" applyFill="1" applyBorder="1" applyAlignment="1">
      <alignment horizontal="center" vertical="center" wrapText="1"/>
    </xf>
    <xf numFmtId="0" fontId="11" fillId="10" borderId="1" xfId="0" applyFont="1" applyFill="1" applyBorder="1" applyAlignment="1">
      <alignment horizontal="center" vertical="center" wrapText="1"/>
    </xf>
    <xf numFmtId="0" fontId="6" fillId="7" borderId="0" xfId="0" applyFont="1" applyFill="1" applyAlignment="1">
      <alignment horizontal="left" vertical="center" wrapText="1"/>
    </xf>
    <xf numFmtId="0" fontId="11" fillId="9" borderId="1" xfId="0" applyFont="1" applyFill="1" applyBorder="1" applyAlignment="1">
      <alignment horizontal="center" vertical="center" wrapText="1"/>
    </xf>
    <xf numFmtId="0" fontId="8" fillId="0" borderId="0" xfId="0" applyFont="1" applyAlignment="1">
      <alignment horizontal="left" vertical="center" wrapText="1"/>
    </xf>
    <xf numFmtId="0" fontId="11" fillId="11"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79" fontId="15" fillId="8" borderId="1" xfId="0" applyNumberFormat="1" applyFont="1" applyFill="1" applyBorder="1" applyAlignment="1">
      <alignment horizontal="center" vertical="center" wrapText="1"/>
    </xf>
    <xf numFmtId="9" fontId="15" fillId="8" borderId="1" xfId="0" applyNumberFormat="1" applyFont="1" applyFill="1" applyBorder="1" applyAlignment="1">
      <alignment horizontal="center" vertical="center" wrapText="1"/>
    </xf>
    <xf numFmtId="177" fontId="15" fillId="8" borderId="1" xfId="0" applyNumberFormat="1" applyFont="1" applyFill="1" applyBorder="1" applyAlignment="1">
      <alignment horizontal="center" vertical="center" wrapText="1"/>
    </xf>
  </cellXfs>
  <cellStyles count="1">
    <cellStyle name="標準" xfId="0" builtinId="0"/>
  </cellStyles>
  <dxfs count="58">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E4"/>
          <bgColor rgb="FFFCE4E4"/>
        </patternFill>
      </fill>
    </dxf>
    <dxf>
      <fill>
        <patternFill patternType="solid">
          <fgColor rgb="FFFCE4D6"/>
          <bgColor rgb="FFFCE4D6"/>
        </patternFill>
      </fill>
    </dxf>
    <dxf>
      <fill>
        <patternFill patternType="solid">
          <fgColor rgb="FFE2EFDA"/>
          <bgColor rgb="FFE2EFDA"/>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E4"/>
          <bgColor rgb="FFFCE4E4"/>
        </patternFill>
      </fill>
    </dxf>
    <dxf>
      <fill>
        <patternFill patternType="solid">
          <fgColor rgb="FFF2F2F2"/>
          <bgColor rgb="FFF2F2F2"/>
        </patternFill>
      </fill>
    </dxf>
    <dxf>
      <fill>
        <patternFill patternType="solid">
          <fgColor rgb="FFE2EFDA"/>
          <bgColor rgb="FFE2EFDA"/>
        </patternFill>
      </fill>
    </dxf>
    <dxf>
      <fill>
        <patternFill patternType="darkUp">
          <fgColor rgb="FF808080"/>
          <bgColor rgb="FF595959"/>
        </patternFill>
      </fill>
    </dxf>
    <dxf>
      <fill>
        <patternFill patternType="solid">
          <fgColor rgb="FFFCE4D6"/>
          <bgColor rgb="FFFCE4D6"/>
        </patternFill>
      </fill>
    </dxf>
    <dxf>
      <fill>
        <patternFill patternType="solid">
          <fgColor rgb="FFF2F2F2"/>
          <bgColor rgb="FFF2F2F2"/>
        </patternFill>
      </fill>
    </dxf>
    <dxf>
      <fill>
        <patternFill patternType="solid">
          <fgColor rgb="FFE2EFDA"/>
          <bgColor rgb="FFE2EFDA"/>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darkUp">
          <fgColor rgb="FF808080"/>
          <bgColor rgb="FF595959"/>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FCE4D6"/>
          <bgColor rgb="FFFCE4D6"/>
        </patternFill>
      </fill>
    </dxf>
    <dxf>
      <fill>
        <patternFill patternType="solid">
          <fgColor rgb="FFFCE4E4"/>
          <bgColor rgb="FFFCE4E4"/>
        </patternFill>
      </fill>
    </dxf>
    <dxf>
      <fill>
        <patternFill patternType="solid">
          <fgColor rgb="FFFCE4D6"/>
          <bgColor rgb="FFFCE4D6"/>
        </patternFill>
      </fill>
    </dxf>
    <dxf>
      <fill>
        <patternFill patternType="solid">
          <fgColor rgb="FFE2EFDA"/>
          <bgColor rgb="FFE2EFDA"/>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E4"/>
          <bgColor rgb="FFFCE4E4"/>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C44"/>
  <sheetViews>
    <sheetView showGridLines="0" tabSelected="1" workbookViewId="0"/>
  </sheetViews>
  <sheetFormatPr baseColWidth="10" defaultColWidth="8.83203125" defaultRowHeight="14"/>
  <cols>
    <col min="1" max="1" width="3" customWidth="1"/>
    <col min="2" max="2" width="26" customWidth="1"/>
    <col min="3" max="3" width="80" customWidth="1"/>
  </cols>
  <sheetData>
    <row r="1" spans="2:3" ht="31">
      <c r="B1" s="1" t="s">
        <v>0</v>
      </c>
    </row>
    <row r="2" spans="2:3" ht="20">
      <c r="B2" s="2" t="s">
        <v>1</v>
      </c>
    </row>
    <row r="4" spans="2:3" ht="22" customHeight="1">
      <c r="B4" s="46" t="s">
        <v>2</v>
      </c>
      <c r="C4" s="47"/>
    </row>
    <row r="5" spans="2:3" ht="19" customHeight="1">
      <c r="B5" s="3" t="s">
        <v>3</v>
      </c>
      <c r="C5" s="4" t="s">
        <v>4</v>
      </c>
    </row>
    <row r="6" spans="2:3" ht="19" customHeight="1">
      <c r="B6" s="3" t="s">
        <v>5</v>
      </c>
      <c r="C6" s="4" t="s">
        <v>6</v>
      </c>
    </row>
    <row r="7" spans="2:3" ht="19" customHeight="1">
      <c r="B7" s="3" t="s">
        <v>7</v>
      </c>
      <c r="C7" s="4" t="s">
        <v>8</v>
      </c>
    </row>
    <row r="9" spans="2:3" ht="22" customHeight="1">
      <c r="B9" s="46" t="s">
        <v>9</v>
      </c>
      <c r="C9" s="47"/>
    </row>
    <row r="10" spans="2:3" ht="49" customHeight="1">
      <c r="C10" s="4" t="s">
        <v>10</v>
      </c>
    </row>
    <row r="12" spans="2:3" ht="22" customHeight="1">
      <c r="B12" s="46" t="s">
        <v>11</v>
      </c>
      <c r="C12" s="47"/>
    </row>
    <row r="13" spans="2:3" ht="34" customHeight="1">
      <c r="B13" s="3" t="s">
        <v>12</v>
      </c>
      <c r="C13" s="4" t="s">
        <v>13</v>
      </c>
    </row>
    <row r="14" spans="2:3" ht="34" customHeight="1">
      <c r="B14" s="3" t="s">
        <v>14</v>
      </c>
      <c r="C14" s="4" t="s">
        <v>15</v>
      </c>
    </row>
    <row r="15" spans="2:3" ht="34" customHeight="1">
      <c r="B15" s="3" t="s">
        <v>16</v>
      </c>
      <c r="C15" s="4" t="s">
        <v>17</v>
      </c>
    </row>
    <row r="16" spans="2:3" ht="34" customHeight="1">
      <c r="B16" s="3" t="s">
        <v>18</v>
      </c>
      <c r="C16" s="4" t="s">
        <v>19</v>
      </c>
    </row>
    <row r="18" spans="2:3" ht="22" customHeight="1">
      <c r="B18" s="46" t="s">
        <v>20</v>
      </c>
      <c r="C18" s="47"/>
    </row>
    <row r="19" spans="2:3" ht="20" customHeight="1">
      <c r="B19" s="5" t="s">
        <v>21</v>
      </c>
      <c r="C19" s="4" t="s">
        <v>22</v>
      </c>
    </row>
    <row r="20" spans="2:3" ht="20" customHeight="1">
      <c r="B20" s="6" t="s">
        <v>23</v>
      </c>
      <c r="C20" s="4" t="s">
        <v>24</v>
      </c>
    </row>
    <row r="21" spans="2:3" ht="20" customHeight="1">
      <c r="B21" s="7" t="s">
        <v>25</v>
      </c>
      <c r="C21" s="4" t="s">
        <v>26</v>
      </c>
    </row>
    <row r="22" spans="2:3" ht="20" customHeight="1">
      <c r="B22" s="8" t="s">
        <v>27</v>
      </c>
      <c r="C22" s="4" t="s">
        <v>28</v>
      </c>
    </row>
    <row r="23" spans="2:3" ht="20" customHeight="1">
      <c r="B23" s="9" t="s">
        <v>29</v>
      </c>
      <c r="C23" s="4" t="s">
        <v>30</v>
      </c>
    </row>
    <row r="24" spans="2:3" ht="34" customHeight="1">
      <c r="B24" s="10" t="s">
        <v>31</v>
      </c>
      <c r="C24" s="4" t="s">
        <v>32</v>
      </c>
    </row>
    <row r="25" spans="2:3" ht="20" customHeight="1">
      <c r="B25" s="11" t="s">
        <v>33</v>
      </c>
      <c r="C25" s="4" t="s">
        <v>34</v>
      </c>
    </row>
    <row r="26" spans="2:3" ht="20" customHeight="1">
      <c r="B26" s="11" t="s">
        <v>35</v>
      </c>
      <c r="C26" s="4" t="s">
        <v>36</v>
      </c>
    </row>
    <row r="27" spans="2:3" ht="20" customHeight="1">
      <c r="B27" s="12" t="s">
        <v>37</v>
      </c>
      <c r="C27" s="4" t="s">
        <v>38</v>
      </c>
    </row>
    <row r="29" spans="2:3" ht="22" customHeight="1">
      <c r="B29" s="46" t="s">
        <v>39</v>
      </c>
      <c r="C29" s="47"/>
    </row>
    <row r="30" spans="2:3" ht="64" customHeight="1">
      <c r="C30" s="4" t="s">
        <v>40</v>
      </c>
    </row>
    <row r="32" spans="2:3" ht="22" customHeight="1">
      <c r="B32" s="46" t="s">
        <v>41</v>
      </c>
      <c r="C32" s="47"/>
    </row>
    <row r="33" spans="2:3" ht="49" customHeight="1">
      <c r="B33" s="3" t="s">
        <v>42</v>
      </c>
      <c r="C33" s="4" t="s">
        <v>43</v>
      </c>
    </row>
    <row r="34" spans="2:3" ht="49" customHeight="1">
      <c r="B34" s="3" t="s">
        <v>44</v>
      </c>
      <c r="C34" s="4" t="s">
        <v>45</v>
      </c>
    </row>
    <row r="35" spans="2:3" ht="34" customHeight="1">
      <c r="B35" s="3" t="s">
        <v>46</v>
      </c>
      <c r="C35" s="4" t="s">
        <v>47</v>
      </c>
    </row>
    <row r="37" spans="2:3" ht="22" customHeight="1">
      <c r="B37" s="46" t="s">
        <v>48</v>
      </c>
      <c r="C37" s="47"/>
    </row>
    <row r="38" spans="2:3" ht="34" customHeight="1">
      <c r="B38" s="3" t="s">
        <v>49</v>
      </c>
      <c r="C38" s="4" t="s">
        <v>50</v>
      </c>
    </row>
    <row r="39" spans="2:3" ht="49" customHeight="1">
      <c r="B39" s="3" t="s">
        <v>51</v>
      </c>
      <c r="C39" s="4" t="s">
        <v>52</v>
      </c>
    </row>
    <row r="40" spans="2:3" ht="64" customHeight="1">
      <c r="B40" s="3" t="s">
        <v>53</v>
      </c>
      <c r="C40" s="4" t="s">
        <v>54</v>
      </c>
    </row>
    <row r="41" spans="2:3" ht="34" customHeight="1">
      <c r="B41" s="3" t="s">
        <v>55</v>
      </c>
      <c r="C41" s="4" t="s">
        <v>56</v>
      </c>
    </row>
    <row r="42" spans="2:3" ht="34" customHeight="1">
      <c r="B42" s="3" t="s">
        <v>57</v>
      </c>
      <c r="C42" s="4" t="s">
        <v>58</v>
      </c>
    </row>
    <row r="43" spans="2:3" ht="22" customHeight="1">
      <c r="B43" s="46" t="s">
        <v>59</v>
      </c>
      <c r="C43" s="47"/>
    </row>
    <row r="44" spans="2:3" ht="49" customHeight="1">
      <c r="C44" s="4" t="s">
        <v>60</v>
      </c>
    </row>
  </sheetData>
  <mergeCells count="8">
    <mergeCell ref="B43:C43"/>
    <mergeCell ref="B12:C12"/>
    <mergeCell ref="B29:C29"/>
    <mergeCell ref="B37:C37"/>
    <mergeCell ref="B32:C32"/>
    <mergeCell ref="B9:C9"/>
    <mergeCell ref="B4:C4"/>
    <mergeCell ref="B18:C18"/>
  </mergeCells>
  <phoneticPr fontId="22"/>
  <pageMargins left="0.75" right="0.75" top="1" bottom="1" header="0.5" footer="0.5"/>
  <pageSetup paperSize="9"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D33"/>
  <sheetViews>
    <sheetView showGridLines="0" workbookViewId="0">
      <pane ySplit="1" topLeftCell="A2" activePane="bottomLeft" state="frozen"/>
      <selection pane="bottomLeft"/>
    </sheetView>
  </sheetViews>
  <sheetFormatPr baseColWidth="10" defaultColWidth="8.83203125" defaultRowHeight="14"/>
  <cols>
    <col min="1" max="1" width="3" customWidth="1"/>
    <col min="2" max="2" width="30" customWidth="1"/>
    <col min="3" max="3" width="26" customWidth="1"/>
    <col min="4" max="4" width="60" customWidth="1"/>
  </cols>
  <sheetData>
    <row r="1" spans="2:4" ht="27">
      <c r="B1" s="52" t="s">
        <v>61</v>
      </c>
      <c r="C1" s="47"/>
      <c r="D1" s="47"/>
    </row>
    <row r="2" spans="2:4" ht="37" customHeight="1">
      <c r="B2" s="53" t="s">
        <v>62</v>
      </c>
      <c r="C2" s="47"/>
      <c r="D2" s="47"/>
    </row>
    <row r="4" spans="2:4" ht="24" customHeight="1">
      <c r="B4" s="46" t="s">
        <v>63</v>
      </c>
      <c r="C4" s="47"/>
      <c r="D4" s="47"/>
    </row>
    <row r="5" spans="2:4" ht="26" customHeight="1">
      <c r="B5" s="14" t="s">
        <v>64</v>
      </c>
      <c r="C5" s="15"/>
      <c r="D5" s="16" t="s">
        <v>65</v>
      </c>
    </row>
    <row r="6" spans="2:4" ht="26" customHeight="1">
      <c r="B6" s="14" t="s">
        <v>66</v>
      </c>
      <c r="C6" s="15"/>
      <c r="D6" s="16" t="s">
        <v>67</v>
      </c>
    </row>
    <row r="7" spans="2:4" ht="26" customHeight="1">
      <c r="B7" s="14" t="s">
        <v>68</v>
      </c>
      <c r="C7" s="15"/>
      <c r="D7" s="16" t="s">
        <v>69</v>
      </c>
    </row>
    <row r="8" spans="2:4" ht="26" customHeight="1">
      <c r="B8" s="14" t="s">
        <v>70</v>
      </c>
      <c r="C8" s="17"/>
      <c r="D8" s="16" t="s">
        <v>71</v>
      </c>
    </row>
    <row r="9" spans="2:4" ht="26" customHeight="1">
      <c r="B9" s="18" t="s">
        <v>72</v>
      </c>
      <c r="C9" s="19">
        <f>'① 従業員情報（本人）'!B4</f>
        <v>0</v>
      </c>
      <c r="D9" s="16" t="s">
        <v>73</v>
      </c>
    </row>
    <row r="10" spans="2:4" ht="37" customHeight="1">
      <c r="B10" s="18" t="s">
        <v>74</v>
      </c>
      <c r="C10" s="19">
        <f>'① 従業員情報（本人）'!F4</f>
        <v>0</v>
      </c>
      <c r="D10" s="16" t="s">
        <v>75</v>
      </c>
    </row>
    <row r="11" spans="2:4" ht="26" customHeight="1">
      <c r="B11" s="18" t="s">
        <v>76</v>
      </c>
      <c r="C11" s="20">
        <f>'① 従業員情報（本人）'!L4</f>
        <v>0</v>
      </c>
      <c r="D11" s="16" t="s">
        <v>77</v>
      </c>
    </row>
    <row r="12" spans="2:4" ht="37" customHeight="1">
      <c r="B12" s="18" t="s">
        <v>78</v>
      </c>
      <c r="C12" s="21" t="str">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事業所設定'!$C$17)+COUNTBLANK('⓪ 事業所設定'!$C$19)+COUNTBLANK('⓪ 事業所設定'!$C$20)+COUNTBLANK('⓪ 事業所設定'!$C$21)&gt;0,"未入力あり：⓪事業所設定をご記入ください",IF('①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未入力（対象者なし）</v>
      </c>
      <c r="D12" s="16" t="s">
        <v>79</v>
      </c>
    </row>
    <row r="13" spans="2:4" ht="37" customHeight="1">
      <c r="B13" s="18" t="s">
        <v>80</v>
      </c>
      <c r="C13" s="21" t="str">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v>
      </c>
      <c r="D13" s="16" t="s">
        <v>81</v>
      </c>
    </row>
    <row r="14" spans="2:4" ht="26" customHeight="1">
      <c r="B14" s="14" t="s">
        <v>82</v>
      </c>
      <c r="C14" s="15"/>
      <c r="D14" s="16" t="s">
        <v>83</v>
      </c>
    </row>
    <row r="15" spans="2:4" ht="24" customHeight="1">
      <c r="B15" s="46" t="s">
        <v>84</v>
      </c>
      <c r="C15" s="47"/>
      <c r="D15" s="47"/>
    </row>
    <row r="16" spans="2:4" ht="20.5" customHeight="1">
      <c r="B16" s="48" t="s">
        <v>85</v>
      </c>
      <c r="C16" s="47"/>
      <c r="D16" s="47"/>
    </row>
    <row r="17" spans="2:4" ht="22" customHeight="1">
      <c r="B17" s="22" t="s">
        <v>86</v>
      </c>
      <c r="C17" s="22"/>
      <c r="D17" s="22" t="s">
        <v>87</v>
      </c>
    </row>
    <row r="18" spans="2:4" ht="37" customHeight="1">
      <c r="B18" s="23" t="s">
        <v>88</v>
      </c>
      <c r="C18" s="15"/>
      <c r="D18" s="16" t="s">
        <v>89</v>
      </c>
    </row>
    <row r="19" spans="2:4" ht="37" customHeight="1">
      <c r="B19" s="23" t="s">
        <v>90</v>
      </c>
      <c r="C19" s="15"/>
      <c r="D19" s="16" t="s">
        <v>91</v>
      </c>
    </row>
    <row r="20" spans="2:4" ht="37" customHeight="1">
      <c r="B20" s="23" t="s">
        <v>92</v>
      </c>
      <c r="C20" s="15"/>
      <c r="D20" s="16" t="s">
        <v>93</v>
      </c>
    </row>
    <row r="21" spans="2:4" ht="37" customHeight="1">
      <c r="B21" s="23" t="s">
        <v>94</v>
      </c>
      <c r="C21" s="15"/>
      <c r="D21" s="16" t="s">
        <v>95</v>
      </c>
    </row>
    <row r="22" spans="2:4" ht="24" customHeight="1">
      <c r="B22" s="23" t="s">
        <v>96</v>
      </c>
      <c r="C22" s="15"/>
      <c r="D22" s="16" t="s">
        <v>97</v>
      </c>
    </row>
    <row r="23" spans="2:4" ht="37" customHeight="1">
      <c r="B23" s="23" t="s">
        <v>98</v>
      </c>
      <c r="C23" s="15"/>
      <c r="D23" s="16" t="s">
        <v>99</v>
      </c>
    </row>
    <row r="25" spans="2:4" ht="24" customHeight="1">
      <c r="B25" s="46" t="s">
        <v>100</v>
      </c>
      <c r="C25" s="47"/>
      <c r="D25" s="47"/>
    </row>
    <row r="26" spans="2:4" ht="53.5" customHeight="1">
      <c r="B26" s="48" t="s">
        <v>101</v>
      </c>
      <c r="C26" s="47"/>
      <c r="D26" s="47"/>
    </row>
    <row r="27" spans="2:4" ht="53.5" customHeight="1">
      <c r="B27" s="53"/>
      <c r="C27" s="47"/>
      <c r="D27" s="47"/>
    </row>
    <row r="28" spans="2:4" ht="20.5" customHeight="1">
      <c r="B28" s="48"/>
      <c r="C28" s="47"/>
      <c r="D28" s="47"/>
    </row>
    <row r="29" spans="2:4" ht="22" customHeight="1">
      <c r="B29" s="49"/>
      <c r="C29" s="50"/>
      <c r="D29" s="51"/>
    </row>
    <row r="30" spans="2:4" ht="218.5" customHeight="1">
      <c r="B30" s="54"/>
      <c r="C30" s="50"/>
      <c r="D30" s="51"/>
    </row>
    <row r="32" spans="2:4" ht="24" customHeight="1">
      <c r="B32" s="46" t="s">
        <v>102</v>
      </c>
      <c r="C32" s="47"/>
      <c r="D32" s="47"/>
    </row>
    <row r="33" spans="2:4" ht="53.5" customHeight="1">
      <c r="B33" s="48" t="s">
        <v>103</v>
      </c>
      <c r="C33" s="47"/>
      <c r="D33" s="47"/>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phoneticPr fontId="22"/>
  <conditionalFormatting sqref="C10">
    <cfRule type="expression" dxfId="57" priority="3" stopIfTrue="1">
      <formula>C10&gt;0</formula>
    </cfRule>
  </conditionalFormatting>
  <conditionalFormatting sqref="C12">
    <cfRule type="expression" dxfId="56" priority="1" stopIfTrue="1">
      <formula>ISNUMBER(SEARCH("提出可",C12))</formula>
    </cfRule>
    <cfRule type="expression" dxfId="55" priority="2" stopIfTrue="1">
      <formula>AND(ISNUMBER(SEARCH("未入力",C12)),ISERROR(SEARCH("提出可",C12)))</formula>
    </cfRule>
  </conditionalFormatting>
  <conditionalFormatting sqref="C13">
    <cfRule type="expression" dxfId="54" priority="16" stopIfTrue="1">
      <formula>ISNUMBER(SEARCH("✓",C13))</formula>
    </cfRule>
    <cfRule type="expression" dxfId="53" priority="17" stopIfTrue="1">
      <formula>ISNUMBER(SEARCH("未入力",C13))</formula>
    </cfRule>
  </conditionalFormatting>
  <dataValidations count="1">
    <dataValidation type="whole" errorStyle="warning" allowBlank="1" showInputMessage="1" showErrorMessage="1" promptTitle="入力のヒント" prompt="西暦 YYYY/MM/DD。" sqref="C8" xr:uid="{00000000-0002-0000-0100-000000000000}">
      <formula1>1</formula1>
      <formula2>99999999</formula2>
    </dataValidation>
  </dataValidations>
  <pageMargins left="0.75" right="0.75" top="1" bottom="1" header="0.5" footer="0.5"/>
  <pageSetup paperSize="9" fitToHeight="0"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39997558519241921"/>
    <pageSetUpPr fitToPage="1"/>
  </sheetPr>
  <dimension ref="B1:D21"/>
  <sheetViews>
    <sheetView showGridLines="0" workbookViewId="0">
      <pane xSplit="1" ySplit="5" topLeftCell="B6" activePane="bottomRight" state="frozen"/>
      <selection sqref="A1:P1"/>
      <selection pane="topRight" sqref="A1:P1"/>
      <selection pane="bottomLeft" sqref="A1:P1"/>
      <selection pane="bottomRight" sqref="A1:P1"/>
    </sheetView>
  </sheetViews>
  <sheetFormatPr baseColWidth="10" defaultColWidth="8.83203125" defaultRowHeight="14"/>
  <cols>
    <col min="1" max="1" width="3" customWidth="1"/>
    <col min="2" max="2" width="34" customWidth="1"/>
    <col min="3" max="3" width="30" customWidth="1"/>
    <col min="4" max="4" width="56" customWidth="1"/>
  </cols>
  <sheetData>
    <row r="1" spans="2:4" ht="27">
      <c r="B1" s="13" t="s">
        <v>104</v>
      </c>
    </row>
    <row r="2" spans="2:4" ht="17">
      <c r="B2" s="24" t="s">
        <v>105</v>
      </c>
    </row>
    <row r="3" spans="2:4" ht="41" customHeight="1">
      <c r="B3" s="55" t="s">
        <v>106</v>
      </c>
      <c r="C3" s="47"/>
      <c r="D3" s="47"/>
    </row>
    <row r="4" spans="2:4" ht="41" customHeight="1">
      <c r="B4" s="55" t="s">
        <v>107</v>
      </c>
      <c r="C4" s="47"/>
      <c r="D4" s="47"/>
    </row>
    <row r="6" spans="2:4" ht="38" customHeight="1">
      <c r="B6" s="25" t="s">
        <v>108</v>
      </c>
      <c r="C6" s="26"/>
      <c r="D6" s="27" t="s">
        <v>109</v>
      </c>
    </row>
    <row r="7" spans="2:4" ht="38" customHeight="1">
      <c r="B7" s="28" t="s">
        <v>110</v>
      </c>
      <c r="C7" s="29"/>
      <c r="D7" s="27" t="s">
        <v>111</v>
      </c>
    </row>
    <row r="8" spans="2:4" ht="38" customHeight="1">
      <c r="B8" s="25" t="s">
        <v>112</v>
      </c>
      <c r="C8" s="26"/>
      <c r="D8" s="27" t="s">
        <v>113</v>
      </c>
    </row>
    <row r="9" spans="2:4" ht="40" customHeight="1">
      <c r="B9" s="25" t="s">
        <v>114</v>
      </c>
      <c r="C9" s="26"/>
      <c r="D9" s="27" t="s">
        <v>115</v>
      </c>
    </row>
    <row r="10" spans="2:4" ht="38" customHeight="1">
      <c r="B10" s="30" t="s">
        <v>116</v>
      </c>
      <c r="C10" s="30" t="str">
        <f>IF(C9="","",IF(C9&gt;=51,"特定適用事業所（51人以上）","50人以下"))</f>
        <v/>
      </c>
      <c r="D10" s="27" t="s">
        <v>117</v>
      </c>
    </row>
    <row r="11" spans="2:4" ht="40" customHeight="1">
      <c r="B11" s="25" t="s">
        <v>118</v>
      </c>
      <c r="C11" s="26"/>
      <c r="D11" s="27" t="s">
        <v>119</v>
      </c>
    </row>
    <row r="12" spans="2:4" ht="40" customHeight="1">
      <c r="B12" s="30" t="s">
        <v>120</v>
      </c>
      <c r="C12" s="30" t="str">
        <f>IF(C9="","",IF(OR(C9&gt;=51,C11="あり"),"適用あり","適用なし"))</f>
        <v/>
      </c>
      <c r="D12" s="27" t="s">
        <v>121</v>
      </c>
    </row>
    <row r="13" spans="2:4" ht="40" customHeight="1">
      <c r="B13" s="25" t="s">
        <v>122</v>
      </c>
      <c r="C13" s="26"/>
      <c r="D13" s="27" t="s">
        <v>123</v>
      </c>
    </row>
    <row r="14" spans="2:4" ht="40" customHeight="1">
      <c r="B14" s="25" t="s">
        <v>124</v>
      </c>
      <c r="C14" s="26"/>
      <c r="D14" s="27" t="s">
        <v>125</v>
      </c>
    </row>
    <row r="15" spans="2:4" ht="40" customHeight="1">
      <c r="B15" s="30" t="s">
        <v>126</v>
      </c>
      <c r="C15" s="31" t="str">
        <f>IF(C13="","",C13*0.75)</f>
        <v/>
      </c>
      <c r="D15" s="27" t="s">
        <v>127</v>
      </c>
    </row>
    <row r="16" spans="2:4" ht="40" customHeight="1">
      <c r="B16" s="30" t="s">
        <v>128</v>
      </c>
      <c r="C16" s="31" t="str">
        <f>IF(C14="","",C14*0.75)</f>
        <v/>
      </c>
      <c r="D16" s="27" t="s">
        <v>129</v>
      </c>
    </row>
    <row r="17" spans="2:4" ht="40" customHeight="1">
      <c r="B17" s="25" t="s">
        <v>130</v>
      </c>
      <c r="C17" s="32">
        <f ca="1">TODAY()</f>
        <v>46276</v>
      </c>
      <c r="D17" s="27" t="s">
        <v>131</v>
      </c>
    </row>
    <row r="18" spans="2:4" ht="38" customHeight="1">
      <c r="B18" s="28" t="s">
        <v>132</v>
      </c>
      <c r="C18" s="26"/>
      <c r="D18" s="27" t="s">
        <v>133</v>
      </c>
    </row>
    <row r="19" spans="2:4" ht="38" customHeight="1">
      <c r="B19" s="25" t="s">
        <v>134</v>
      </c>
      <c r="C19" s="29"/>
      <c r="D19" s="27" t="s">
        <v>135</v>
      </c>
    </row>
    <row r="20" spans="2:4" ht="38" customHeight="1">
      <c r="B20" s="25" t="s">
        <v>136</v>
      </c>
      <c r="C20" s="29"/>
      <c r="D20" s="27" t="s">
        <v>137</v>
      </c>
    </row>
    <row r="21" spans="2:4" ht="38" customHeight="1">
      <c r="B21" s="25" t="s">
        <v>138</v>
      </c>
      <c r="C21" s="29"/>
      <c r="D21" s="27" t="s">
        <v>139</v>
      </c>
    </row>
  </sheetData>
  <mergeCells count="2">
    <mergeCell ref="B3:D3"/>
    <mergeCell ref="B4:D4"/>
  </mergeCells>
  <phoneticPr fontId="22"/>
  <conditionalFormatting sqref="C6">
    <cfRule type="expression" dxfId="52" priority="1">
      <formula>C6=""</formula>
    </cfRule>
  </conditionalFormatting>
  <conditionalFormatting sqref="C8:C9">
    <cfRule type="expression" dxfId="51" priority="2">
      <formula>C8=""</formula>
    </cfRule>
  </conditionalFormatting>
  <conditionalFormatting sqref="C11">
    <cfRule type="expression" dxfId="50" priority="4">
      <formula>C11=""</formula>
    </cfRule>
  </conditionalFormatting>
  <conditionalFormatting sqref="C13:C14">
    <cfRule type="expression" dxfId="49" priority="5">
      <formula>C13=""</formula>
    </cfRule>
  </conditionalFormatting>
  <conditionalFormatting sqref="C17">
    <cfRule type="expression" dxfId="48" priority="7">
      <formula>C17=""</formula>
    </cfRule>
  </conditionalFormatting>
  <dataValidations count="11">
    <dataValidation type="textLength" errorStyle="warning" operator="equal" allowBlank="1" showInputMessage="1" showErrorMessage="1" errorTitle="入力エラー" error="13桁で入力してください。" promptTitle="入力のヒント" prompt="13桁の法人番号（任意）。" sqref="C7" xr:uid="{00000000-0002-0000-0200-000000000000}">
      <formula1>13</formula1>
    </dataValidation>
    <dataValidation type="list" allowBlank="1" showInputMessage="1" showErrorMessage="1" errorTitle="入力エラー" error="一覧から選択してください。" promptTitle="入力のヒント" prompt="協会けんぽ／健康保険組合 から選択。" sqref="C8" xr:uid="{00000000-0002-0000-0200-000001000000}">
      <formula1>m_健保種類</formula1>
    </dataValidation>
    <dataValidation type="whole" allowBlank="1" showInputMessage="1" showErrorMessage="1" errorTitle="入力エラー" error="0以上の整数で入力してください。" promptTitle="入力のヒント" prompt="0以上の整数（人数）。" sqref="C9" xr:uid="{00000000-0002-0000-0200-000002000000}">
      <formula1>0</formula1>
      <formula2>100000</formula2>
    </dataValidation>
    <dataValidation type="list" allowBlank="1" showInputMessage="1" showErrorMessage="1" errorTitle="入力エラー" error="あり／なし から選択してください。" promptTitle="入力のヒント" prompt="50人以下でも労使合意で適用する場合『あり』。" sqref="C11" xr:uid="{00000000-0002-0000-0200-000003000000}">
      <formula1>m_任意申出</formula1>
    </dataValidation>
    <dataValidation type="decimal" allowBlank="1" showInputMessage="1" showErrorMessage="1" errorTitle="入力エラー" error="0〜80で入力してください。" promptTitle="入力のヒント" prompt="0〜80の数値（時間）。" sqref="C13" xr:uid="{00000000-0002-0000-0200-000004000000}">
      <formula1>0</formula1>
      <formula2>80</formula2>
    </dataValidation>
    <dataValidation type="decimal" allowBlank="1" showInputMessage="1" showErrorMessage="1" errorTitle="入力エラー" error="0〜31で入力してください。" promptTitle="入力のヒント" prompt="0〜31の数値（日数）。" sqref="C14" xr:uid="{00000000-0002-0000-0200-000005000000}">
      <formula1>0</formula1>
      <formula2>31</formula2>
    </dataValidation>
    <dataValidation type="date" allowBlank="1" showInputMessage="1" showErrorMessage="1" errorTitle="入力エラー" error="日付（YYYY/MM/DD）で入力してください。" promptTitle="入力のヒント" prompt="西暦 YYYY/MM/DD。既定は本日。" sqref="C17" xr:uid="{00000000-0002-0000-0200-000006000000}">
      <formula1>DATE(1900,1,1)</formula1>
      <formula2>DATE(2199,12,31)</formula2>
    </dataValidation>
    <dataValidation type="whole" allowBlank="1" showInputMessage="1" showErrorMessage="1" errorTitle="入力エラー" error="0以上の整数で入力してください。" promptTitle="入力のヒント" prompt="円（整数・任意）。" sqref="C18" xr:uid="{00000000-0002-0000-0200-000007000000}">
      <formula1>0</formula1>
      <formula2>100000</formula2>
    </dataValidation>
    <dataValidation type="textLength" allowBlank="1" showInputMessage="1" promptTitle="ご記入のお願い" prompt="資格取得届の事業所整理記号欄。初めて社会保険に加入する会社は「新規適用の申請中」とご記入ください。2回目以降のご注文で、前回お知らせいただいていれば「前回と同じ」とご記入ください。" sqref="C19" xr:uid="{00000000-0002-0000-0200-000008000000}">
      <formula1>1</formula1>
      <formula2>30</formula2>
    </dataValidation>
    <dataValidation type="textLength" allowBlank="1" showInputMessage="1" promptTitle="ご記入のお願い" prompt="資格取得届の事業所番号欄。2回目以降のご注文で、前回お知らせいただいていれば「前回と同じ」とご記入ください。" sqref="C20" xr:uid="{00000000-0002-0000-0200-000009000000}">
      <formula1>1</formula1>
      <formula2>30</formula2>
    </dataValidation>
    <dataValidation type="textLength" allowBlank="1" showInputMessage="1" promptTitle="ご記入のお願い" prompt="雇用保険 資格取得届の事業所番号欄。初めて雇用保険に加入する会社は「新規適用の申請中」とご記入ください。2回目以降のご注文で、前回お知らせいただいていれば「前回と同じ」とご記入ください。" sqref="C21" xr:uid="{00000000-0002-0000-0200-00000A000000}">
      <formula1>1</formula1>
      <formula2>30</formula2>
    </dataValidation>
  </dataValidations>
  <pageMargins left="0.75" right="0.75" top="1" bottom="1" header="0.5" footer="0.5"/>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pageSetUpPr fitToPage="1"/>
  </sheetPr>
  <dimension ref="A1:AY58"/>
  <sheetViews>
    <sheetView showGridLines="0" workbookViewId="0">
      <pane xSplit="2" ySplit="8" topLeftCell="C9" activePane="bottomRight" state="frozen"/>
      <selection sqref="A1:P1"/>
      <selection pane="topRight" sqref="A1:P1"/>
      <selection pane="bottomLeft" sqref="A1:P1"/>
      <selection pane="bottomRight" sqref="A1:P1"/>
    </sheetView>
  </sheetViews>
  <sheetFormatPr baseColWidth="10" defaultColWidth="8.83203125" defaultRowHeight="14"/>
  <cols>
    <col min="1" max="1" width="11" customWidth="1"/>
    <col min="2" max="3" width="20" customWidth="1"/>
    <col min="4" max="4" width="9" customWidth="1"/>
    <col min="5" max="5" width="15" customWidth="1"/>
    <col min="6" max="6" width="8" customWidth="1"/>
    <col min="7" max="7" width="19" customWidth="1"/>
    <col min="8" max="9" width="14" customWidth="1"/>
    <col min="10" max="10" width="16" customWidth="1"/>
    <col min="11" max="13" width="17" customWidth="1"/>
    <col min="14" max="14" width="18" customWidth="1"/>
    <col min="15" max="16" width="17" customWidth="1"/>
    <col min="17" max="17" width="13" customWidth="1"/>
    <col min="18" max="18" width="17" customWidth="1"/>
    <col min="19" max="20" width="16" customWidth="1"/>
    <col min="21" max="22" width="18" customWidth="1"/>
    <col min="23" max="23" width="16" customWidth="1"/>
    <col min="24" max="24" width="26" customWidth="1"/>
    <col min="25" max="25" width="24" customWidth="1"/>
    <col min="26" max="26" width="20" customWidth="1"/>
    <col min="27" max="29" width="18" customWidth="1"/>
    <col min="30" max="31" width="24" customWidth="1"/>
    <col min="32" max="32" width="17" customWidth="1"/>
    <col min="33" max="33" width="12" customWidth="1"/>
    <col min="34" max="34" width="11" customWidth="1"/>
    <col min="35" max="35" width="24" customWidth="1"/>
    <col min="36" max="36" width="18" customWidth="1"/>
    <col min="37" max="37" width="16" customWidth="1"/>
    <col min="38" max="38" width="10" customWidth="1"/>
    <col min="39" max="39" width="16" customWidth="1"/>
    <col min="40" max="40" width="15" customWidth="1"/>
    <col min="41" max="42" width="20" customWidth="1"/>
    <col min="43" max="43" width="12" customWidth="1"/>
    <col min="44" max="44" width="28" customWidth="1"/>
    <col min="45" max="47" width="13" hidden="1" customWidth="1"/>
    <col min="48" max="51" width="22" customWidth="1"/>
  </cols>
  <sheetData>
    <row r="1" spans="1:51" ht="24" customHeight="1">
      <c r="A1" s="52" t="s">
        <v>140</v>
      </c>
      <c r="B1" s="47"/>
      <c r="C1" s="47"/>
      <c r="D1" s="47"/>
      <c r="E1" s="47"/>
      <c r="F1" s="47"/>
      <c r="G1" s="47"/>
      <c r="H1" s="47"/>
      <c r="I1" s="47"/>
      <c r="J1" s="47"/>
      <c r="K1" s="68" t="s">
        <v>141</v>
      </c>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47"/>
      <c r="AX1" s="47"/>
    </row>
    <row r="2" spans="1:51">
      <c r="A2" s="33"/>
      <c r="B2" s="33"/>
      <c r="C2" s="33"/>
      <c r="D2" s="33"/>
      <c r="E2" s="33"/>
      <c r="F2" s="33"/>
      <c r="G2" s="33"/>
      <c r="H2" s="33"/>
      <c r="I2" s="33"/>
      <c r="J2" s="33"/>
      <c r="K2" s="33"/>
      <c r="L2" s="33"/>
      <c r="M2" s="33"/>
      <c r="N2" s="33"/>
      <c r="O2" s="33"/>
      <c r="P2" s="33"/>
    </row>
    <row r="3" spans="1:51" ht="19" customHeight="1">
      <c r="A3" s="33"/>
      <c r="B3" s="58" t="s">
        <v>142</v>
      </c>
      <c r="C3" s="47"/>
      <c r="D3" s="58" t="s">
        <v>143</v>
      </c>
      <c r="E3" s="47"/>
      <c r="F3" s="58" t="s">
        <v>144</v>
      </c>
      <c r="G3" s="47"/>
      <c r="H3" s="33"/>
      <c r="I3" s="58" t="s">
        <v>145</v>
      </c>
      <c r="J3" s="47"/>
      <c r="K3" s="33"/>
      <c r="L3" s="58" t="s">
        <v>146</v>
      </c>
      <c r="M3" s="47"/>
      <c r="N3" s="33"/>
      <c r="O3" s="33"/>
      <c r="P3" s="33"/>
    </row>
    <row r="4" spans="1:51">
      <c r="A4" s="33"/>
      <c r="B4" s="64">
        <f>COUNTA(B9:B58)</f>
        <v>0</v>
      </c>
      <c r="C4" s="57"/>
      <c r="D4" s="64">
        <f>COUNTIF(AT9:AT58,0)</f>
        <v>0</v>
      </c>
      <c r="E4" s="57"/>
      <c r="F4" s="56">
        <f>SUM(AT9:AT58)</f>
        <v>0</v>
      </c>
      <c r="G4" s="57"/>
      <c r="H4" s="33"/>
      <c r="I4" s="56">
        <f>SUM(AU9:AU58)</f>
        <v>0</v>
      </c>
      <c r="J4" s="57"/>
      <c r="K4" s="33"/>
      <c r="L4" s="63">
        <f>IF(B4=0,0,D4/B4)</f>
        <v>0</v>
      </c>
      <c r="M4" s="57"/>
      <c r="N4" s="33"/>
      <c r="O4" s="33"/>
      <c r="P4" s="33"/>
    </row>
    <row r="5" spans="1:51" ht="20" customHeight="1">
      <c r="A5" s="33"/>
      <c r="B5" s="66" t="str">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（まだ入力がありません。水色の記入例の下の行からご記入ください）</v>
      </c>
      <c r="C5" s="47"/>
      <c r="D5" s="47"/>
      <c r="E5" s="47"/>
      <c r="F5" s="47"/>
      <c r="G5" s="47"/>
      <c r="H5" s="47"/>
      <c r="I5" s="47"/>
      <c r="J5" s="47"/>
      <c r="K5" s="47"/>
      <c r="L5" s="47"/>
      <c r="M5" s="33"/>
      <c r="N5" s="33"/>
      <c r="O5" s="33"/>
      <c r="P5" s="33"/>
    </row>
    <row r="6" spans="1:51" ht="20" customHeight="1">
      <c r="A6" s="67" t="s">
        <v>147</v>
      </c>
      <c r="B6" s="60"/>
      <c r="C6" s="60"/>
      <c r="D6" s="60"/>
      <c r="E6" s="60"/>
      <c r="F6" s="57"/>
      <c r="G6" s="65" t="s">
        <v>148</v>
      </c>
      <c r="H6" s="60"/>
      <c r="I6" s="60"/>
      <c r="J6" s="60"/>
      <c r="K6" s="60"/>
      <c r="L6" s="60"/>
      <c r="M6" s="60"/>
      <c r="N6" s="60"/>
      <c r="O6" s="60"/>
      <c r="P6" s="57"/>
      <c r="Q6" s="69" t="s">
        <v>149</v>
      </c>
      <c r="R6" s="60"/>
      <c r="S6" s="60"/>
      <c r="T6" s="60"/>
      <c r="U6" s="60"/>
      <c r="V6" s="60"/>
      <c r="W6" s="57"/>
      <c r="X6" s="59" t="s">
        <v>150</v>
      </c>
      <c r="Y6" s="60"/>
      <c r="Z6" s="57"/>
      <c r="AA6" s="70" t="s">
        <v>151</v>
      </c>
      <c r="AB6" s="60"/>
      <c r="AC6" s="60"/>
      <c r="AD6" s="60"/>
      <c r="AE6" s="60"/>
      <c r="AF6" s="57"/>
      <c r="AG6" s="62" t="s">
        <v>152</v>
      </c>
      <c r="AH6" s="60"/>
      <c r="AI6" s="60"/>
      <c r="AJ6" s="60"/>
      <c r="AK6" s="57"/>
      <c r="AL6" s="59" t="s">
        <v>153</v>
      </c>
      <c r="AM6" s="60"/>
      <c r="AN6" s="60"/>
      <c r="AO6" s="57"/>
      <c r="AP6" s="61" t="s">
        <v>154</v>
      </c>
      <c r="AQ6" s="60"/>
      <c r="AR6" s="57"/>
      <c r="AV6" s="61" t="s">
        <v>155</v>
      </c>
      <c r="AW6" s="60"/>
      <c r="AX6" s="57"/>
      <c r="AY6" s="45"/>
    </row>
    <row r="7" spans="1:51" ht="60" customHeight="1">
      <c r="A7" s="7" t="s">
        <v>156</v>
      </c>
      <c r="B7" s="5" t="s">
        <v>157</v>
      </c>
      <c r="C7" s="5" t="s">
        <v>158</v>
      </c>
      <c r="D7" s="5" t="s">
        <v>159</v>
      </c>
      <c r="E7" s="5" t="s">
        <v>160</v>
      </c>
      <c r="F7" s="7" t="s">
        <v>161</v>
      </c>
      <c r="G7" s="5" t="s">
        <v>162</v>
      </c>
      <c r="H7" s="5" t="s">
        <v>163</v>
      </c>
      <c r="I7" s="5" t="s">
        <v>164</v>
      </c>
      <c r="J7" s="6" t="s">
        <v>165</v>
      </c>
      <c r="K7" s="6" t="s">
        <v>166</v>
      </c>
      <c r="L7" s="5" t="s">
        <v>167</v>
      </c>
      <c r="M7" s="5" t="s">
        <v>168</v>
      </c>
      <c r="N7" s="5" t="s">
        <v>169</v>
      </c>
      <c r="O7" s="7" t="s">
        <v>170</v>
      </c>
      <c r="P7" s="7" t="s">
        <v>171</v>
      </c>
      <c r="Q7" s="5" t="s">
        <v>172</v>
      </c>
      <c r="R7" s="6" t="s">
        <v>173</v>
      </c>
      <c r="S7" s="5" t="s">
        <v>174</v>
      </c>
      <c r="T7" s="6" t="s">
        <v>175</v>
      </c>
      <c r="U7" s="6" t="s">
        <v>176</v>
      </c>
      <c r="V7" s="6" t="s">
        <v>177</v>
      </c>
      <c r="W7" s="7" t="s">
        <v>178</v>
      </c>
      <c r="X7" s="7" t="s">
        <v>179</v>
      </c>
      <c r="Y7" s="7" t="s">
        <v>180</v>
      </c>
      <c r="Z7" s="7" t="s">
        <v>181</v>
      </c>
      <c r="AA7" s="5" t="s">
        <v>182</v>
      </c>
      <c r="AB7" s="5" t="s">
        <v>183</v>
      </c>
      <c r="AC7" s="5" t="s">
        <v>184</v>
      </c>
      <c r="AD7" s="5" t="s">
        <v>185</v>
      </c>
      <c r="AE7" s="6" t="s">
        <v>186</v>
      </c>
      <c r="AF7" s="6" t="s">
        <v>187</v>
      </c>
      <c r="AG7" s="5" t="s">
        <v>188</v>
      </c>
      <c r="AH7" s="5" t="s">
        <v>189</v>
      </c>
      <c r="AI7" s="5" t="s">
        <v>190</v>
      </c>
      <c r="AJ7" s="6" t="s">
        <v>191</v>
      </c>
      <c r="AK7" s="6" t="s">
        <v>192</v>
      </c>
      <c r="AL7" s="5" t="s">
        <v>193</v>
      </c>
      <c r="AM7" s="6" t="s">
        <v>194</v>
      </c>
      <c r="AN7" s="6" t="s">
        <v>195</v>
      </c>
      <c r="AO7" s="6" t="s">
        <v>196</v>
      </c>
      <c r="AP7" s="5" t="s">
        <v>197</v>
      </c>
      <c r="AQ7" s="5" t="s">
        <v>198</v>
      </c>
      <c r="AR7" s="6" t="s">
        <v>199</v>
      </c>
      <c r="AV7" s="5" t="s">
        <v>200</v>
      </c>
      <c r="AW7" s="6" t="s">
        <v>201</v>
      </c>
      <c r="AX7" s="6" t="s">
        <v>202</v>
      </c>
      <c r="AY7" s="5" t="s">
        <v>203</v>
      </c>
    </row>
    <row r="8" spans="1:51" ht="37" customHeight="1">
      <c r="A8" s="34" t="s">
        <v>204</v>
      </c>
      <c r="B8" s="35" t="s">
        <v>205</v>
      </c>
      <c r="C8" s="35" t="s">
        <v>206</v>
      </c>
      <c r="D8" s="35" t="s">
        <v>207</v>
      </c>
      <c r="E8" s="36">
        <v>32964</v>
      </c>
      <c r="F8" s="35">
        <f t="shared" ref="F8:F39" ca="1" si="0">IF(OR($E8="",$E8&gt;80000),"",DATEDIF($E8,IF(OR($G8="",$G8&gt;80000),TODAY(),$G8),"Y"))</f>
        <v>36</v>
      </c>
      <c r="G8" s="36">
        <v>46204</v>
      </c>
      <c r="H8" s="35" t="s">
        <v>208</v>
      </c>
      <c r="I8" s="35" t="s">
        <v>209</v>
      </c>
      <c r="J8" s="35"/>
      <c r="K8" s="35"/>
      <c r="L8" s="35">
        <v>40</v>
      </c>
      <c r="M8" s="35">
        <v>21</v>
      </c>
      <c r="N8" s="35" t="s">
        <v>210</v>
      </c>
      <c r="O8" s="35" t="str">
        <f t="shared" ref="O8:O39" si="1">IF($B8="","",IF($I8="なし","あり",IF($I8&lt;&gt;"あり","",IF($K8="更新の可能性あり","あり",IF(OR($J8="",$G8=""),"なし",IF(OR(NOT(ISNUMBER($G8)),NOT(ISNUMBER($J8)),$G8&gt;80000,$J8&gt;80000),"要確認（日付）",IF($J8&gt;IF(DAY(EDATE($G8,2))&lt;DAY($G8),EOMONTH($G8,2),EDATE($G8,2)-1),"あり","なし")))))))</f>
        <v>あり</v>
      </c>
      <c r="P8" s="35" t="str">
        <f t="shared" ref="P8:P39" si="2">IF($B8="","",IF($I8="なし","あり",IF($I8="あり",IF(OR($K8="更新の可能性あり",AND($J8&lt;&gt;"",$G8&lt;&gt;"",$J8-$G8+1&gt;=31)),"あり","なし"),"")))</f>
        <v>あり</v>
      </c>
      <c r="Q8" s="35" t="s">
        <v>211</v>
      </c>
      <c r="R8" s="37"/>
      <c r="S8" s="37">
        <v>250000</v>
      </c>
      <c r="T8" s="37">
        <v>20000</v>
      </c>
      <c r="U8" s="37">
        <v>12000</v>
      </c>
      <c r="V8" s="37">
        <v>0</v>
      </c>
      <c r="W8" s="37">
        <f t="shared" ref="W8:W39" si="3">IF($B8="","",SUM($S8,$T8,$U8,$V8))</f>
        <v>282000</v>
      </c>
      <c r="X8" s="35" t="str">
        <f ca="1">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事業所設定が未入力です</v>
      </c>
      <c r="Y8" s="35" t="str">
        <f t="shared" ref="Y8:Y39" ca="1" si="4">IF($B8="","",TRIM(IF(AND($F8&lt;&gt;"",$F8&gt;=70,ISNUMBER(SEARCH("加入（",$X8))),"厚年対象外（70歳以上被用者該当届） ","")&amp;IF(AND($F8&lt;&gt;"",$F8&gt;=75),"健保対象外（後期高齢者医療） ","")&amp;IF(AND($F8&lt;&gt;"",$F8&gt;=65,$Z8="加入"),"雇保：高年齢被保険者 ","")))</f>
        <v/>
      </c>
      <c r="Z8" s="35" t="str">
        <f t="shared" ref="Z8:Z39" si="5">IF($B8="","",IF($H8="役員","対象外（兼務役員なら要相談）",IF(AND($L8&gt;=20,$P8="あり",$N8&lt;&gt;"昼間部の学生"),"加入","加入対象外")))</f>
        <v>加入</v>
      </c>
      <c r="AA8" s="38" t="s">
        <v>212</v>
      </c>
      <c r="AB8" s="38"/>
      <c r="AC8" s="35" t="s">
        <v>209</v>
      </c>
      <c r="AD8" s="38"/>
      <c r="AE8" s="35"/>
      <c r="AF8" s="35"/>
      <c r="AG8" s="38" t="s">
        <v>213</v>
      </c>
      <c r="AH8" s="35" t="s">
        <v>214</v>
      </c>
      <c r="AI8" s="35" t="s">
        <v>215</v>
      </c>
      <c r="AJ8" s="35" t="s">
        <v>216</v>
      </c>
      <c r="AK8" s="35" t="s">
        <v>217</v>
      </c>
      <c r="AL8" s="35" t="s">
        <v>218</v>
      </c>
      <c r="AM8" s="35"/>
      <c r="AN8" s="35"/>
      <c r="AO8" s="35"/>
      <c r="AP8" s="35" t="s">
        <v>219</v>
      </c>
      <c r="AQ8" s="35" t="s">
        <v>220</v>
      </c>
      <c r="AR8" s="35" t="s">
        <v>221</v>
      </c>
      <c r="AV8" s="35" t="s">
        <v>222</v>
      </c>
      <c r="AW8" s="37">
        <v>0</v>
      </c>
      <c r="AX8" s="35" t="s">
        <v>223</v>
      </c>
      <c r="AY8" s="35" t="s">
        <v>224</v>
      </c>
    </row>
    <row r="9" spans="1:51" ht="19">
      <c r="A9" s="21" t="str">
        <f t="shared" ref="A9:A40" si="6">IF($B9="","",ROW()-8)</f>
        <v/>
      </c>
      <c r="B9" s="15"/>
      <c r="C9" s="15"/>
      <c r="D9" s="15"/>
      <c r="E9" s="17"/>
      <c r="F9" s="39" t="str">
        <f t="shared" ca="1" si="0"/>
        <v/>
      </c>
      <c r="G9" s="17"/>
      <c r="H9" s="15"/>
      <c r="I9" s="15"/>
      <c r="J9" s="17"/>
      <c r="K9" s="15"/>
      <c r="L9" s="15"/>
      <c r="M9" s="15"/>
      <c r="N9" s="15"/>
      <c r="O9" s="21" t="str">
        <f t="shared" si="1"/>
        <v/>
      </c>
      <c r="P9" s="21" t="str">
        <f t="shared" si="2"/>
        <v/>
      </c>
      <c r="Q9" s="15"/>
      <c r="R9" s="40"/>
      <c r="S9" s="40"/>
      <c r="T9" s="40"/>
      <c r="U9" s="40"/>
      <c r="V9" s="40"/>
      <c r="W9" s="41" t="str">
        <f t="shared" si="3"/>
        <v/>
      </c>
      <c r="X9" s="21" t="str">
        <f ca="1">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事業所設定が未入力です</v>
      </c>
      <c r="Y9" s="21" t="str">
        <f t="shared" si="4"/>
        <v/>
      </c>
      <c r="Z9" s="21" t="str">
        <f t="shared" si="5"/>
        <v/>
      </c>
      <c r="AA9" s="42"/>
      <c r="AB9" s="42"/>
      <c r="AC9" s="15"/>
      <c r="AD9" s="42"/>
      <c r="AE9" s="15"/>
      <c r="AF9" s="15"/>
      <c r="AG9" s="42"/>
      <c r="AH9" s="15"/>
      <c r="AI9" s="15"/>
      <c r="AJ9" s="15"/>
      <c r="AK9" s="15"/>
      <c r="AL9" s="15"/>
      <c r="AM9" s="15"/>
      <c r="AN9" s="17"/>
      <c r="AO9" s="15"/>
      <c r="AP9" s="15"/>
      <c r="AQ9" s="15"/>
      <c r="AR9" s="15"/>
      <c r="AT9" t="str">
        <f t="shared" ref="AT9:AT40" si="7">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t="str">
        <f t="shared" ref="AU9:AU40" si="8">IF($B9="","",IF(AND($AA9&lt;&gt;"",$AA9&lt;&gt;"後日提出",$AA9&lt;&gt;"別経路提出",LEN($AA9)&lt;&gt;12),1,0)+IF(AND($AB9&lt;&gt;"",$AB9&lt;&gt;"後日提出",LEN($AB9)&lt;&gt;10),1,0)+IF(AND($AD9&lt;&gt;"",$AD9&lt;&gt;"後日提出",LEN($AD9)&lt;&gt;11),1,0)+IF(AND($AG9&lt;&gt;"",LEN(SUBSTITUTE($AG9,"-",""))&lt;&gt;7),1,0))</f>
        <v/>
      </c>
      <c r="AV9" s="15"/>
      <c r="AW9" s="40"/>
      <c r="AX9" s="15"/>
      <c r="AY9" s="15"/>
    </row>
    <row r="10" spans="1:51" ht="19">
      <c r="A10" s="21" t="str">
        <f t="shared" si="6"/>
        <v/>
      </c>
      <c r="B10" s="15"/>
      <c r="C10" s="15"/>
      <c r="D10" s="15"/>
      <c r="E10" s="17"/>
      <c r="F10" s="39" t="str">
        <f t="shared" ca="1" si="0"/>
        <v/>
      </c>
      <c r="G10" s="17"/>
      <c r="H10" s="15"/>
      <c r="I10" s="15"/>
      <c r="J10" s="17"/>
      <c r="K10" s="15"/>
      <c r="L10" s="15"/>
      <c r="M10" s="15"/>
      <c r="N10" s="15"/>
      <c r="O10" s="21" t="str">
        <f t="shared" si="1"/>
        <v/>
      </c>
      <c r="P10" s="21" t="str">
        <f t="shared" si="2"/>
        <v/>
      </c>
      <c r="Q10" s="15"/>
      <c r="R10" s="40"/>
      <c r="S10" s="40"/>
      <c r="T10" s="40"/>
      <c r="U10" s="40"/>
      <c r="V10" s="40"/>
      <c r="W10" s="41" t="str">
        <f t="shared" si="3"/>
        <v/>
      </c>
      <c r="X10" s="21" t="str">
        <f ca="1">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事業所設定が未入力です</v>
      </c>
      <c r="Y10" s="21" t="str">
        <f t="shared" si="4"/>
        <v/>
      </c>
      <c r="Z10" s="21" t="str">
        <f t="shared" si="5"/>
        <v/>
      </c>
      <c r="AA10" s="42"/>
      <c r="AB10" s="42"/>
      <c r="AC10" s="15"/>
      <c r="AD10" s="42"/>
      <c r="AE10" s="15"/>
      <c r="AF10" s="15"/>
      <c r="AG10" s="42"/>
      <c r="AH10" s="15"/>
      <c r="AI10" s="15"/>
      <c r="AJ10" s="15"/>
      <c r="AK10" s="15"/>
      <c r="AL10" s="15"/>
      <c r="AM10" s="15"/>
      <c r="AN10" s="17"/>
      <c r="AO10" s="15"/>
      <c r="AP10" s="15"/>
      <c r="AQ10" s="15"/>
      <c r="AR10" s="15"/>
      <c r="AT10" t="str">
        <f t="shared" si="7"/>
        <v/>
      </c>
      <c r="AU10" t="str">
        <f t="shared" si="8"/>
        <v/>
      </c>
      <c r="AV10" s="15"/>
      <c r="AW10" s="40"/>
      <c r="AX10" s="15"/>
      <c r="AY10" s="15"/>
    </row>
    <row r="11" spans="1:51" ht="19">
      <c r="A11" s="21" t="str">
        <f t="shared" si="6"/>
        <v/>
      </c>
      <c r="B11" s="15"/>
      <c r="C11" s="15"/>
      <c r="D11" s="15"/>
      <c r="E11" s="17"/>
      <c r="F11" s="39" t="str">
        <f t="shared" ca="1" si="0"/>
        <v/>
      </c>
      <c r="G11" s="17"/>
      <c r="H11" s="15"/>
      <c r="I11" s="15"/>
      <c r="J11" s="17"/>
      <c r="K11" s="15"/>
      <c r="L11" s="15"/>
      <c r="M11" s="15"/>
      <c r="N11" s="15"/>
      <c r="O11" s="21" t="str">
        <f t="shared" si="1"/>
        <v/>
      </c>
      <c r="P11" s="21" t="str">
        <f t="shared" si="2"/>
        <v/>
      </c>
      <c r="Q11" s="15"/>
      <c r="R11" s="40"/>
      <c r="S11" s="40"/>
      <c r="T11" s="40"/>
      <c r="U11" s="40"/>
      <c r="V11" s="40"/>
      <c r="W11" s="41" t="str">
        <f t="shared" si="3"/>
        <v/>
      </c>
      <c r="X11" s="21" t="str">
        <f ca="1">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事業所設定が未入力です</v>
      </c>
      <c r="Y11" s="21" t="str">
        <f t="shared" si="4"/>
        <v/>
      </c>
      <c r="Z11" s="21" t="str">
        <f t="shared" si="5"/>
        <v/>
      </c>
      <c r="AA11" s="42"/>
      <c r="AB11" s="42"/>
      <c r="AC11" s="15"/>
      <c r="AD11" s="42"/>
      <c r="AE11" s="15"/>
      <c r="AF11" s="15"/>
      <c r="AG11" s="42"/>
      <c r="AH11" s="15"/>
      <c r="AI11" s="15"/>
      <c r="AJ11" s="15"/>
      <c r="AK11" s="15"/>
      <c r="AL11" s="15"/>
      <c r="AM11" s="15"/>
      <c r="AN11" s="17"/>
      <c r="AO11" s="15"/>
      <c r="AP11" s="15"/>
      <c r="AQ11" s="15"/>
      <c r="AR11" s="15"/>
      <c r="AT11" t="str">
        <f t="shared" si="7"/>
        <v/>
      </c>
      <c r="AU11" t="str">
        <f t="shared" si="8"/>
        <v/>
      </c>
      <c r="AV11" s="15"/>
      <c r="AW11" s="40"/>
      <c r="AX11" s="15"/>
      <c r="AY11" s="15"/>
    </row>
    <row r="12" spans="1:51" ht="19">
      <c r="A12" s="21" t="str">
        <f t="shared" si="6"/>
        <v/>
      </c>
      <c r="B12" s="15"/>
      <c r="C12" s="15"/>
      <c r="D12" s="15"/>
      <c r="E12" s="17"/>
      <c r="F12" s="39" t="str">
        <f t="shared" ca="1" si="0"/>
        <v/>
      </c>
      <c r="G12" s="17"/>
      <c r="H12" s="15"/>
      <c r="I12" s="15"/>
      <c r="J12" s="17"/>
      <c r="K12" s="15"/>
      <c r="L12" s="15"/>
      <c r="M12" s="15"/>
      <c r="N12" s="15"/>
      <c r="O12" s="21" t="str">
        <f t="shared" si="1"/>
        <v/>
      </c>
      <c r="P12" s="21" t="str">
        <f t="shared" si="2"/>
        <v/>
      </c>
      <c r="Q12" s="15"/>
      <c r="R12" s="40"/>
      <c r="S12" s="40"/>
      <c r="T12" s="40"/>
      <c r="U12" s="40"/>
      <c r="V12" s="40"/>
      <c r="W12" s="41" t="str">
        <f t="shared" si="3"/>
        <v/>
      </c>
      <c r="X12" s="21" t="str">
        <f ca="1">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事業所設定が未入力です</v>
      </c>
      <c r="Y12" s="21" t="str">
        <f t="shared" si="4"/>
        <v/>
      </c>
      <c r="Z12" s="21" t="str">
        <f t="shared" si="5"/>
        <v/>
      </c>
      <c r="AA12" s="42"/>
      <c r="AB12" s="42"/>
      <c r="AC12" s="15"/>
      <c r="AD12" s="42"/>
      <c r="AE12" s="15"/>
      <c r="AF12" s="15"/>
      <c r="AG12" s="42"/>
      <c r="AH12" s="15"/>
      <c r="AI12" s="15"/>
      <c r="AJ12" s="15"/>
      <c r="AK12" s="15"/>
      <c r="AL12" s="15"/>
      <c r="AM12" s="15"/>
      <c r="AN12" s="17"/>
      <c r="AO12" s="15"/>
      <c r="AP12" s="15"/>
      <c r="AQ12" s="15"/>
      <c r="AR12" s="15"/>
      <c r="AT12" t="str">
        <f t="shared" si="7"/>
        <v/>
      </c>
      <c r="AU12" t="str">
        <f t="shared" si="8"/>
        <v/>
      </c>
      <c r="AV12" s="15"/>
      <c r="AW12" s="40"/>
      <c r="AX12" s="15"/>
      <c r="AY12" s="15"/>
    </row>
    <row r="13" spans="1:51" ht="19">
      <c r="A13" s="21" t="str">
        <f t="shared" si="6"/>
        <v/>
      </c>
      <c r="B13" s="15"/>
      <c r="C13" s="15"/>
      <c r="D13" s="15"/>
      <c r="E13" s="17"/>
      <c r="F13" s="39" t="str">
        <f t="shared" ca="1" si="0"/>
        <v/>
      </c>
      <c r="G13" s="17"/>
      <c r="H13" s="15"/>
      <c r="I13" s="15"/>
      <c r="J13" s="17"/>
      <c r="K13" s="15"/>
      <c r="L13" s="15"/>
      <c r="M13" s="15"/>
      <c r="N13" s="15"/>
      <c r="O13" s="21" t="str">
        <f t="shared" si="1"/>
        <v/>
      </c>
      <c r="P13" s="21" t="str">
        <f t="shared" si="2"/>
        <v/>
      </c>
      <c r="Q13" s="15"/>
      <c r="R13" s="40"/>
      <c r="S13" s="40"/>
      <c r="T13" s="40"/>
      <c r="U13" s="40"/>
      <c r="V13" s="40"/>
      <c r="W13" s="41" t="str">
        <f t="shared" si="3"/>
        <v/>
      </c>
      <c r="X13" s="21" t="str">
        <f ca="1">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事業所設定が未入力です</v>
      </c>
      <c r="Y13" s="21" t="str">
        <f t="shared" si="4"/>
        <v/>
      </c>
      <c r="Z13" s="21" t="str">
        <f t="shared" si="5"/>
        <v/>
      </c>
      <c r="AA13" s="42"/>
      <c r="AB13" s="42"/>
      <c r="AC13" s="15"/>
      <c r="AD13" s="42"/>
      <c r="AE13" s="15"/>
      <c r="AF13" s="15"/>
      <c r="AG13" s="42"/>
      <c r="AH13" s="15"/>
      <c r="AI13" s="15"/>
      <c r="AJ13" s="15"/>
      <c r="AK13" s="15"/>
      <c r="AL13" s="15"/>
      <c r="AM13" s="15"/>
      <c r="AN13" s="17"/>
      <c r="AO13" s="15"/>
      <c r="AP13" s="15"/>
      <c r="AQ13" s="15"/>
      <c r="AR13" s="15"/>
      <c r="AT13" t="str">
        <f t="shared" si="7"/>
        <v/>
      </c>
      <c r="AU13" t="str">
        <f t="shared" si="8"/>
        <v/>
      </c>
      <c r="AV13" s="15"/>
      <c r="AW13" s="40"/>
      <c r="AX13" s="15"/>
      <c r="AY13" s="15"/>
    </row>
    <row r="14" spans="1:51" ht="19">
      <c r="A14" s="21" t="str">
        <f t="shared" si="6"/>
        <v/>
      </c>
      <c r="B14" s="15"/>
      <c r="C14" s="15"/>
      <c r="D14" s="15"/>
      <c r="E14" s="17"/>
      <c r="F14" s="39" t="str">
        <f t="shared" ca="1" si="0"/>
        <v/>
      </c>
      <c r="G14" s="17"/>
      <c r="H14" s="15"/>
      <c r="I14" s="15"/>
      <c r="J14" s="17"/>
      <c r="K14" s="15"/>
      <c r="L14" s="15"/>
      <c r="M14" s="15"/>
      <c r="N14" s="15"/>
      <c r="O14" s="21" t="str">
        <f t="shared" si="1"/>
        <v/>
      </c>
      <c r="P14" s="21" t="str">
        <f t="shared" si="2"/>
        <v/>
      </c>
      <c r="Q14" s="15"/>
      <c r="R14" s="40"/>
      <c r="S14" s="40"/>
      <c r="T14" s="40"/>
      <c r="U14" s="40"/>
      <c r="V14" s="40"/>
      <c r="W14" s="41" t="str">
        <f t="shared" si="3"/>
        <v/>
      </c>
      <c r="X14" s="21" t="str">
        <f ca="1">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事業所設定が未入力です</v>
      </c>
      <c r="Y14" s="21" t="str">
        <f t="shared" si="4"/>
        <v/>
      </c>
      <c r="Z14" s="21" t="str">
        <f t="shared" si="5"/>
        <v/>
      </c>
      <c r="AA14" s="42"/>
      <c r="AB14" s="42"/>
      <c r="AC14" s="15"/>
      <c r="AD14" s="42"/>
      <c r="AE14" s="15"/>
      <c r="AF14" s="15"/>
      <c r="AG14" s="42"/>
      <c r="AH14" s="15"/>
      <c r="AI14" s="15"/>
      <c r="AJ14" s="15"/>
      <c r="AK14" s="15"/>
      <c r="AL14" s="15"/>
      <c r="AM14" s="15"/>
      <c r="AN14" s="17"/>
      <c r="AO14" s="15"/>
      <c r="AP14" s="15"/>
      <c r="AQ14" s="15"/>
      <c r="AR14" s="15"/>
      <c r="AT14" t="str">
        <f t="shared" si="7"/>
        <v/>
      </c>
      <c r="AU14" t="str">
        <f t="shared" si="8"/>
        <v/>
      </c>
      <c r="AV14" s="15"/>
      <c r="AW14" s="40"/>
      <c r="AX14" s="15"/>
      <c r="AY14" s="15"/>
    </row>
    <row r="15" spans="1:51" ht="19">
      <c r="A15" s="21" t="str">
        <f t="shared" si="6"/>
        <v/>
      </c>
      <c r="B15" s="15"/>
      <c r="C15" s="15"/>
      <c r="D15" s="15"/>
      <c r="E15" s="17"/>
      <c r="F15" s="39" t="str">
        <f t="shared" ca="1" si="0"/>
        <v/>
      </c>
      <c r="G15" s="17"/>
      <c r="H15" s="15"/>
      <c r="I15" s="15"/>
      <c r="J15" s="17"/>
      <c r="K15" s="15"/>
      <c r="L15" s="15"/>
      <c r="M15" s="15"/>
      <c r="N15" s="15"/>
      <c r="O15" s="21" t="str">
        <f t="shared" si="1"/>
        <v/>
      </c>
      <c r="P15" s="21" t="str">
        <f t="shared" si="2"/>
        <v/>
      </c>
      <c r="Q15" s="15"/>
      <c r="R15" s="40"/>
      <c r="S15" s="40"/>
      <c r="T15" s="40"/>
      <c r="U15" s="40"/>
      <c r="V15" s="40"/>
      <c r="W15" s="41" t="str">
        <f t="shared" si="3"/>
        <v/>
      </c>
      <c r="X15" s="21" t="str">
        <f ca="1">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事業所設定が未入力です</v>
      </c>
      <c r="Y15" s="21" t="str">
        <f t="shared" si="4"/>
        <v/>
      </c>
      <c r="Z15" s="21" t="str">
        <f t="shared" si="5"/>
        <v/>
      </c>
      <c r="AA15" s="42"/>
      <c r="AB15" s="42"/>
      <c r="AC15" s="15"/>
      <c r="AD15" s="42"/>
      <c r="AE15" s="15"/>
      <c r="AF15" s="15"/>
      <c r="AG15" s="42"/>
      <c r="AH15" s="15"/>
      <c r="AI15" s="15"/>
      <c r="AJ15" s="15"/>
      <c r="AK15" s="15"/>
      <c r="AL15" s="15"/>
      <c r="AM15" s="15"/>
      <c r="AN15" s="17"/>
      <c r="AO15" s="15"/>
      <c r="AP15" s="15"/>
      <c r="AQ15" s="15"/>
      <c r="AR15" s="15"/>
      <c r="AT15" t="str">
        <f t="shared" si="7"/>
        <v/>
      </c>
      <c r="AU15" t="str">
        <f t="shared" si="8"/>
        <v/>
      </c>
      <c r="AV15" s="15"/>
      <c r="AW15" s="40"/>
      <c r="AX15" s="15"/>
      <c r="AY15" s="15"/>
    </row>
    <row r="16" spans="1:51" ht="19">
      <c r="A16" s="21" t="str">
        <f t="shared" si="6"/>
        <v/>
      </c>
      <c r="B16" s="15"/>
      <c r="C16" s="15"/>
      <c r="D16" s="15"/>
      <c r="E16" s="17"/>
      <c r="F16" s="39" t="str">
        <f t="shared" ca="1" si="0"/>
        <v/>
      </c>
      <c r="G16" s="17"/>
      <c r="H16" s="15"/>
      <c r="I16" s="15"/>
      <c r="J16" s="17"/>
      <c r="K16" s="15"/>
      <c r="L16" s="15"/>
      <c r="M16" s="15"/>
      <c r="N16" s="15"/>
      <c r="O16" s="21" t="str">
        <f t="shared" si="1"/>
        <v/>
      </c>
      <c r="P16" s="21" t="str">
        <f t="shared" si="2"/>
        <v/>
      </c>
      <c r="Q16" s="15"/>
      <c r="R16" s="40"/>
      <c r="S16" s="40"/>
      <c r="T16" s="40"/>
      <c r="U16" s="40"/>
      <c r="V16" s="40"/>
      <c r="W16" s="41" t="str">
        <f t="shared" si="3"/>
        <v/>
      </c>
      <c r="X16" s="21" t="str">
        <f ca="1">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事業所設定が未入力です</v>
      </c>
      <c r="Y16" s="21" t="str">
        <f t="shared" si="4"/>
        <v/>
      </c>
      <c r="Z16" s="21" t="str">
        <f t="shared" si="5"/>
        <v/>
      </c>
      <c r="AA16" s="42"/>
      <c r="AB16" s="42"/>
      <c r="AC16" s="15"/>
      <c r="AD16" s="42"/>
      <c r="AE16" s="15"/>
      <c r="AF16" s="15"/>
      <c r="AG16" s="42"/>
      <c r="AH16" s="15"/>
      <c r="AI16" s="15"/>
      <c r="AJ16" s="15"/>
      <c r="AK16" s="15"/>
      <c r="AL16" s="15"/>
      <c r="AM16" s="15"/>
      <c r="AN16" s="17"/>
      <c r="AO16" s="15"/>
      <c r="AP16" s="15"/>
      <c r="AQ16" s="15"/>
      <c r="AR16" s="15"/>
      <c r="AT16" t="str">
        <f t="shared" si="7"/>
        <v/>
      </c>
      <c r="AU16" t="str">
        <f t="shared" si="8"/>
        <v/>
      </c>
      <c r="AV16" s="15"/>
      <c r="AW16" s="40"/>
      <c r="AX16" s="15"/>
      <c r="AY16" s="15"/>
    </row>
    <row r="17" spans="1:51" ht="19">
      <c r="A17" s="21" t="str">
        <f t="shared" si="6"/>
        <v/>
      </c>
      <c r="B17" s="15"/>
      <c r="C17" s="15"/>
      <c r="D17" s="15"/>
      <c r="E17" s="17"/>
      <c r="F17" s="39" t="str">
        <f t="shared" ca="1" si="0"/>
        <v/>
      </c>
      <c r="G17" s="17"/>
      <c r="H17" s="15"/>
      <c r="I17" s="15"/>
      <c r="J17" s="17"/>
      <c r="K17" s="15"/>
      <c r="L17" s="15"/>
      <c r="M17" s="15"/>
      <c r="N17" s="15"/>
      <c r="O17" s="21" t="str">
        <f t="shared" si="1"/>
        <v/>
      </c>
      <c r="P17" s="21" t="str">
        <f t="shared" si="2"/>
        <v/>
      </c>
      <c r="Q17" s="15"/>
      <c r="R17" s="40"/>
      <c r="S17" s="40"/>
      <c r="T17" s="40"/>
      <c r="U17" s="40"/>
      <c r="V17" s="40"/>
      <c r="W17" s="41" t="str">
        <f t="shared" si="3"/>
        <v/>
      </c>
      <c r="X17" s="21" t="str">
        <f ca="1">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事業所設定が未入力です</v>
      </c>
      <c r="Y17" s="21" t="str">
        <f t="shared" si="4"/>
        <v/>
      </c>
      <c r="Z17" s="21" t="str">
        <f t="shared" si="5"/>
        <v/>
      </c>
      <c r="AA17" s="42"/>
      <c r="AB17" s="42"/>
      <c r="AC17" s="15"/>
      <c r="AD17" s="42"/>
      <c r="AE17" s="15"/>
      <c r="AF17" s="15"/>
      <c r="AG17" s="42"/>
      <c r="AH17" s="15"/>
      <c r="AI17" s="15"/>
      <c r="AJ17" s="15"/>
      <c r="AK17" s="15"/>
      <c r="AL17" s="15"/>
      <c r="AM17" s="15"/>
      <c r="AN17" s="17"/>
      <c r="AO17" s="15"/>
      <c r="AP17" s="15"/>
      <c r="AQ17" s="15"/>
      <c r="AR17" s="15"/>
      <c r="AT17" t="str">
        <f t="shared" si="7"/>
        <v/>
      </c>
      <c r="AU17" t="str">
        <f t="shared" si="8"/>
        <v/>
      </c>
      <c r="AV17" s="15"/>
      <c r="AW17" s="40"/>
      <c r="AX17" s="15"/>
      <c r="AY17" s="15"/>
    </row>
    <row r="18" spans="1:51" ht="19">
      <c r="A18" s="21" t="str">
        <f t="shared" si="6"/>
        <v/>
      </c>
      <c r="B18" s="15"/>
      <c r="C18" s="15"/>
      <c r="D18" s="15"/>
      <c r="E18" s="17"/>
      <c r="F18" s="39" t="str">
        <f t="shared" ca="1" si="0"/>
        <v/>
      </c>
      <c r="G18" s="17"/>
      <c r="H18" s="15"/>
      <c r="I18" s="15"/>
      <c r="J18" s="17"/>
      <c r="K18" s="15"/>
      <c r="L18" s="15"/>
      <c r="M18" s="15"/>
      <c r="N18" s="15"/>
      <c r="O18" s="21" t="str">
        <f t="shared" si="1"/>
        <v/>
      </c>
      <c r="P18" s="21" t="str">
        <f t="shared" si="2"/>
        <v/>
      </c>
      <c r="Q18" s="15"/>
      <c r="R18" s="40"/>
      <c r="S18" s="40"/>
      <c r="T18" s="40"/>
      <c r="U18" s="40"/>
      <c r="V18" s="40"/>
      <c r="W18" s="41" t="str">
        <f t="shared" si="3"/>
        <v/>
      </c>
      <c r="X18" s="21" t="str">
        <f ca="1">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事業所設定が未入力です</v>
      </c>
      <c r="Y18" s="21" t="str">
        <f t="shared" si="4"/>
        <v/>
      </c>
      <c r="Z18" s="21" t="str">
        <f t="shared" si="5"/>
        <v/>
      </c>
      <c r="AA18" s="42"/>
      <c r="AB18" s="42"/>
      <c r="AC18" s="15"/>
      <c r="AD18" s="42"/>
      <c r="AE18" s="15"/>
      <c r="AF18" s="15"/>
      <c r="AG18" s="42"/>
      <c r="AH18" s="15"/>
      <c r="AI18" s="15"/>
      <c r="AJ18" s="15"/>
      <c r="AK18" s="15"/>
      <c r="AL18" s="15"/>
      <c r="AM18" s="15"/>
      <c r="AN18" s="17"/>
      <c r="AO18" s="15"/>
      <c r="AP18" s="15"/>
      <c r="AQ18" s="15"/>
      <c r="AR18" s="15"/>
      <c r="AT18" t="str">
        <f t="shared" si="7"/>
        <v/>
      </c>
      <c r="AU18" t="str">
        <f t="shared" si="8"/>
        <v/>
      </c>
      <c r="AV18" s="15"/>
      <c r="AW18" s="40"/>
      <c r="AX18" s="15"/>
      <c r="AY18" s="15"/>
    </row>
    <row r="19" spans="1:51" ht="19">
      <c r="A19" s="21" t="str">
        <f t="shared" si="6"/>
        <v/>
      </c>
      <c r="B19" s="15"/>
      <c r="C19" s="15"/>
      <c r="D19" s="15"/>
      <c r="E19" s="17"/>
      <c r="F19" s="39" t="str">
        <f t="shared" ca="1" si="0"/>
        <v/>
      </c>
      <c r="G19" s="17"/>
      <c r="H19" s="15"/>
      <c r="I19" s="15"/>
      <c r="J19" s="17"/>
      <c r="K19" s="15"/>
      <c r="L19" s="15"/>
      <c r="M19" s="15"/>
      <c r="N19" s="15"/>
      <c r="O19" s="21" t="str">
        <f t="shared" si="1"/>
        <v/>
      </c>
      <c r="P19" s="21" t="str">
        <f t="shared" si="2"/>
        <v/>
      </c>
      <c r="Q19" s="15"/>
      <c r="R19" s="40"/>
      <c r="S19" s="40"/>
      <c r="T19" s="40"/>
      <c r="U19" s="40"/>
      <c r="V19" s="40"/>
      <c r="W19" s="41" t="str">
        <f t="shared" si="3"/>
        <v/>
      </c>
      <c r="X19" s="21" t="str">
        <f ca="1">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事業所設定が未入力です</v>
      </c>
      <c r="Y19" s="21" t="str">
        <f t="shared" si="4"/>
        <v/>
      </c>
      <c r="Z19" s="21" t="str">
        <f t="shared" si="5"/>
        <v/>
      </c>
      <c r="AA19" s="42"/>
      <c r="AB19" s="42"/>
      <c r="AC19" s="15"/>
      <c r="AD19" s="42"/>
      <c r="AE19" s="15"/>
      <c r="AF19" s="15"/>
      <c r="AG19" s="42"/>
      <c r="AH19" s="15"/>
      <c r="AI19" s="15"/>
      <c r="AJ19" s="15"/>
      <c r="AK19" s="15"/>
      <c r="AL19" s="15"/>
      <c r="AM19" s="15"/>
      <c r="AN19" s="17"/>
      <c r="AO19" s="15"/>
      <c r="AP19" s="15"/>
      <c r="AQ19" s="15"/>
      <c r="AR19" s="15"/>
      <c r="AT19" t="str">
        <f t="shared" si="7"/>
        <v/>
      </c>
      <c r="AU19" t="str">
        <f t="shared" si="8"/>
        <v/>
      </c>
      <c r="AV19" s="15"/>
      <c r="AW19" s="40"/>
      <c r="AX19" s="15"/>
      <c r="AY19" s="15"/>
    </row>
    <row r="20" spans="1:51" ht="19">
      <c r="A20" s="21" t="str">
        <f t="shared" si="6"/>
        <v/>
      </c>
      <c r="B20" s="15"/>
      <c r="C20" s="15"/>
      <c r="D20" s="15"/>
      <c r="E20" s="17"/>
      <c r="F20" s="39" t="str">
        <f t="shared" ca="1" si="0"/>
        <v/>
      </c>
      <c r="G20" s="17"/>
      <c r="H20" s="15"/>
      <c r="I20" s="15"/>
      <c r="J20" s="17"/>
      <c r="K20" s="15"/>
      <c r="L20" s="15"/>
      <c r="M20" s="15"/>
      <c r="N20" s="15"/>
      <c r="O20" s="21" t="str">
        <f t="shared" si="1"/>
        <v/>
      </c>
      <c r="P20" s="21" t="str">
        <f t="shared" si="2"/>
        <v/>
      </c>
      <c r="Q20" s="15"/>
      <c r="R20" s="40"/>
      <c r="S20" s="40"/>
      <c r="T20" s="40"/>
      <c r="U20" s="40"/>
      <c r="V20" s="40"/>
      <c r="W20" s="41" t="str">
        <f t="shared" si="3"/>
        <v/>
      </c>
      <c r="X20" s="21" t="str">
        <f ca="1">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事業所設定が未入力です</v>
      </c>
      <c r="Y20" s="21" t="str">
        <f t="shared" si="4"/>
        <v/>
      </c>
      <c r="Z20" s="21" t="str">
        <f t="shared" si="5"/>
        <v/>
      </c>
      <c r="AA20" s="42"/>
      <c r="AB20" s="42"/>
      <c r="AC20" s="15"/>
      <c r="AD20" s="42"/>
      <c r="AE20" s="15"/>
      <c r="AF20" s="15"/>
      <c r="AG20" s="42"/>
      <c r="AH20" s="15"/>
      <c r="AI20" s="15"/>
      <c r="AJ20" s="15"/>
      <c r="AK20" s="15"/>
      <c r="AL20" s="15"/>
      <c r="AM20" s="15"/>
      <c r="AN20" s="17"/>
      <c r="AO20" s="15"/>
      <c r="AP20" s="15"/>
      <c r="AQ20" s="15"/>
      <c r="AR20" s="15"/>
      <c r="AT20" t="str">
        <f t="shared" si="7"/>
        <v/>
      </c>
      <c r="AU20" t="str">
        <f t="shared" si="8"/>
        <v/>
      </c>
      <c r="AV20" s="15"/>
      <c r="AW20" s="40"/>
      <c r="AX20" s="15"/>
      <c r="AY20" s="15"/>
    </row>
    <row r="21" spans="1:51" ht="19">
      <c r="A21" s="21" t="str">
        <f t="shared" si="6"/>
        <v/>
      </c>
      <c r="B21" s="15"/>
      <c r="C21" s="15"/>
      <c r="D21" s="15"/>
      <c r="E21" s="17"/>
      <c r="F21" s="39" t="str">
        <f t="shared" ca="1" si="0"/>
        <v/>
      </c>
      <c r="G21" s="17"/>
      <c r="H21" s="15"/>
      <c r="I21" s="15"/>
      <c r="J21" s="17"/>
      <c r="K21" s="15"/>
      <c r="L21" s="15"/>
      <c r="M21" s="15"/>
      <c r="N21" s="15"/>
      <c r="O21" s="21" t="str">
        <f t="shared" si="1"/>
        <v/>
      </c>
      <c r="P21" s="21" t="str">
        <f t="shared" si="2"/>
        <v/>
      </c>
      <c r="Q21" s="15"/>
      <c r="R21" s="40"/>
      <c r="S21" s="40"/>
      <c r="T21" s="40"/>
      <c r="U21" s="40"/>
      <c r="V21" s="40"/>
      <c r="W21" s="41" t="str">
        <f t="shared" si="3"/>
        <v/>
      </c>
      <c r="X21" s="21" t="str">
        <f ca="1">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事業所設定が未入力です</v>
      </c>
      <c r="Y21" s="21" t="str">
        <f t="shared" si="4"/>
        <v/>
      </c>
      <c r="Z21" s="21" t="str">
        <f t="shared" si="5"/>
        <v/>
      </c>
      <c r="AA21" s="42"/>
      <c r="AB21" s="42"/>
      <c r="AC21" s="15"/>
      <c r="AD21" s="42"/>
      <c r="AE21" s="15"/>
      <c r="AF21" s="15"/>
      <c r="AG21" s="42"/>
      <c r="AH21" s="15"/>
      <c r="AI21" s="15"/>
      <c r="AJ21" s="15"/>
      <c r="AK21" s="15"/>
      <c r="AL21" s="15"/>
      <c r="AM21" s="15"/>
      <c r="AN21" s="17"/>
      <c r="AO21" s="15"/>
      <c r="AP21" s="15"/>
      <c r="AQ21" s="15"/>
      <c r="AR21" s="15"/>
      <c r="AT21" t="str">
        <f t="shared" si="7"/>
        <v/>
      </c>
      <c r="AU21" t="str">
        <f t="shared" si="8"/>
        <v/>
      </c>
      <c r="AV21" s="15"/>
      <c r="AW21" s="40"/>
      <c r="AX21" s="15"/>
      <c r="AY21" s="15"/>
    </row>
    <row r="22" spans="1:51" ht="19">
      <c r="A22" s="21" t="str">
        <f t="shared" si="6"/>
        <v/>
      </c>
      <c r="B22" s="15"/>
      <c r="C22" s="15"/>
      <c r="D22" s="15"/>
      <c r="E22" s="17"/>
      <c r="F22" s="39" t="str">
        <f t="shared" ca="1" si="0"/>
        <v/>
      </c>
      <c r="G22" s="17"/>
      <c r="H22" s="15"/>
      <c r="I22" s="15"/>
      <c r="J22" s="17"/>
      <c r="K22" s="15"/>
      <c r="L22" s="15"/>
      <c r="M22" s="15"/>
      <c r="N22" s="15"/>
      <c r="O22" s="21" t="str">
        <f t="shared" si="1"/>
        <v/>
      </c>
      <c r="P22" s="21" t="str">
        <f t="shared" si="2"/>
        <v/>
      </c>
      <c r="Q22" s="15"/>
      <c r="R22" s="40"/>
      <c r="S22" s="40"/>
      <c r="T22" s="40"/>
      <c r="U22" s="40"/>
      <c r="V22" s="40"/>
      <c r="W22" s="41" t="str">
        <f t="shared" si="3"/>
        <v/>
      </c>
      <c r="X22" s="21" t="str">
        <f ca="1">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事業所設定が未入力です</v>
      </c>
      <c r="Y22" s="21" t="str">
        <f t="shared" si="4"/>
        <v/>
      </c>
      <c r="Z22" s="21" t="str">
        <f t="shared" si="5"/>
        <v/>
      </c>
      <c r="AA22" s="42"/>
      <c r="AB22" s="42"/>
      <c r="AC22" s="15"/>
      <c r="AD22" s="42"/>
      <c r="AE22" s="15"/>
      <c r="AF22" s="15"/>
      <c r="AG22" s="42"/>
      <c r="AH22" s="15"/>
      <c r="AI22" s="15"/>
      <c r="AJ22" s="15"/>
      <c r="AK22" s="15"/>
      <c r="AL22" s="15"/>
      <c r="AM22" s="15"/>
      <c r="AN22" s="17"/>
      <c r="AO22" s="15"/>
      <c r="AP22" s="15"/>
      <c r="AQ22" s="15"/>
      <c r="AR22" s="15"/>
      <c r="AT22" t="str">
        <f t="shared" si="7"/>
        <v/>
      </c>
      <c r="AU22" t="str">
        <f t="shared" si="8"/>
        <v/>
      </c>
      <c r="AV22" s="15"/>
      <c r="AW22" s="40"/>
      <c r="AX22" s="15"/>
      <c r="AY22" s="15"/>
    </row>
    <row r="23" spans="1:51" ht="19">
      <c r="A23" s="21" t="str">
        <f t="shared" si="6"/>
        <v/>
      </c>
      <c r="B23" s="15"/>
      <c r="C23" s="15"/>
      <c r="D23" s="15"/>
      <c r="E23" s="17"/>
      <c r="F23" s="39" t="str">
        <f t="shared" ca="1" si="0"/>
        <v/>
      </c>
      <c r="G23" s="17"/>
      <c r="H23" s="15"/>
      <c r="I23" s="15"/>
      <c r="J23" s="17"/>
      <c r="K23" s="15"/>
      <c r="L23" s="15"/>
      <c r="M23" s="15"/>
      <c r="N23" s="15"/>
      <c r="O23" s="21" t="str">
        <f t="shared" si="1"/>
        <v/>
      </c>
      <c r="P23" s="21" t="str">
        <f t="shared" si="2"/>
        <v/>
      </c>
      <c r="Q23" s="15"/>
      <c r="R23" s="40"/>
      <c r="S23" s="40"/>
      <c r="T23" s="40"/>
      <c r="U23" s="40"/>
      <c r="V23" s="40"/>
      <c r="W23" s="41" t="str">
        <f t="shared" si="3"/>
        <v/>
      </c>
      <c r="X23" s="21" t="str">
        <f ca="1">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事業所設定が未入力です</v>
      </c>
      <c r="Y23" s="21" t="str">
        <f t="shared" si="4"/>
        <v/>
      </c>
      <c r="Z23" s="21" t="str">
        <f t="shared" si="5"/>
        <v/>
      </c>
      <c r="AA23" s="42"/>
      <c r="AB23" s="42"/>
      <c r="AC23" s="15"/>
      <c r="AD23" s="42"/>
      <c r="AE23" s="15"/>
      <c r="AF23" s="15"/>
      <c r="AG23" s="42"/>
      <c r="AH23" s="15"/>
      <c r="AI23" s="15"/>
      <c r="AJ23" s="15"/>
      <c r="AK23" s="15"/>
      <c r="AL23" s="15"/>
      <c r="AM23" s="15"/>
      <c r="AN23" s="17"/>
      <c r="AO23" s="15"/>
      <c r="AP23" s="15"/>
      <c r="AQ23" s="15"/>
      <c r="AR23" s="15"/>
      <c r="AT23" t="str">
        <f t="shared" si="7"/>
        <v/>
      </c>
      <c r="AU23" t="str">
        <f t="shared" si="8"/>
        <v/>
      </c>
      <c r="AV23" s="15"/>
      <c r="AW23" s="40"/>
      <c r="AX23" s="15"/>
      <c r="AY23" s="15"/>
    </row>
    <row r="24" spans="1:51" ht="19">
      <c r="A24" s="21" t="str">
        <f t="shared" si="6"/>
        <v/>
      </c>
      <c r="B24" s="15"/>
      <c r="C24" s="15"/>
      <c r="D24" s="15"/>
      <c r="E24" s="17"/>
      <c r="F24" s="39" t="str">
        <f t="shared" ca="1" si="0"/>
        <v/>
      </c>
      <c r="G24" s="17"/>
      <c r="H24" s="15"/>
      <c r="I24" s="15"/>
      <c r="J24" s="17"/>
      <c r="K24" s="15"/>
      <c r="L24" s="15"/>
      <c r="M24" s="15"/>
      <c r="N24" s="15"/>
      <c r="O24" s="21" t="str">
        <f t="shared" si="1"/>
        <v/>
      </c>
      <c r="P24" s="21" t="str">
        <f t="shared" si="2"/>
        <v/>
      </c>
      <c r="Q24" s="15"/>
      <c r="R24" s="40"/>
      <c r="S24" s="40"/>
      <c r="T24" s="40"/>
      <c r="U24" s="40"/>
      <c r="V24" s="40"/>
      <c r="W24" s="41" t="str">
        <f t="shared" si="3"/>
        <v/>
      </c>
      <c r="X24" s="21" t="str">
        <f ca="1">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事業所設定が未入力です</v>
      </c>
      <c r="Y24" s="21" t="str">
        <f t="shared" si="4"/>
        <v/>
      </c>
      <c r="Z24" s="21" t="str">
        <f t="shared" si="5"/>
        <v/>
      </c>
      <c r="AA24" s="42"/>
      <c r="AB24" s="42"/>
      <c r="AC24" s="15"/>
      <c r="AD24" s="42"/>
      <c r="AE24" s="15"/>
      <c r="AF24" s="15"/>
      <c r="AG24" s="42"/>
      <c r="AH24" s="15"/>
      <c r="AI24" s="15"/>
      <c r="AJ24" s="15"/>
      <c r="AK24" s="15"/>
      <c r="AL24" s="15"/>
      <c r="AM24" s="15"/>
      <c r="AN24" s="17"/>
      <c r="AO24" s="15"/>
      <c r="AP24" s="15"/>
      <c r="AQ24" s="15"/>
      <c r="AR24" s="15"/>
      <c r="AT24" t="str">
        <f t="shared" si="7"/>
        <v/>
      </c>
      <c r="AU24" t="str">
        <f t="shared" si="8"/>
        <v/>
      </c>
      <c r="AV24" s="15"/>
      <c r="AW24" s="40"/>
      <c r="AX24" s="15"/>
      <c r="AY24" s="15"/>
    </row>
    <row r="25" spans="1:51" ht="19">
      <c r="A25" s="21" t="str">
        <f t="shared" si="6"/>
        <v/>
      </c>
      <c r="B25" s="15"/>
      <c r="C25" s="15"/>
      <c r="D25" s="15"/>
      <c r="E25" s="17"/>
      <c r="F25" s="39" t="str">
        <f t="shared" ca="1" si="0"/>
        <v/>
      </c>
      <c r="G25" s="17"/>
      <c r="H25" s="15"/>
      <c r="I25" s="15"/>
      <c r="J25" s="17"/>
      <c r="K25" s="15"/>
      <c r="L25" s="15"/>
      <c r="M25" s="15"/>
      <c r="N25" s="15"/>
      <c r="O25" s="21" t="str">
        <f t="shared" si="1"/>
        <v/>
      </c>
      <c r="P25" s="21" t="str">
        <f t="shared" si="2"/>
        <v/>
      </c>
      <c r="Q25" s="15"/>
      <c r="R25" s="40"/>
      <c r="S25" s="40"/>
      <c r="T25" s="40"/>
      <c r="U25" s="40"/>
      <c r="V25" s="40"/>
      <c r="W25" s="41" t="str">
        <f t="shared" si="3"/>
        <v/>
      </c>
      <c r="X25" s="21" t="str">
        <f ca="1">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事業所設定が未入力です</v>
      </c>
      <c r="Y25" s="21" t="str">
        <f t="shared" si="4"/>
        <v/>
      </c>
      <c r="Z25" s="21" t="str">
        <f t="shared" si="5"/>
        <v/>
      </c>
      <c r="AA25" s="42"/>
      <c r="AB25" s="42"/>
      <c r="AC25" s="15"/>
      <c r="AD25" s="42"/>
      <c r="AE25" s="15"/>
      <c r="AF25" s="15"/>
      <c r="AG25" s="42"/>
      <c r="AH25" s="15"/>
      <c r="AI25" s="15"/>
      <c r="AJ25" s="15"/>
      <c r="AK25" s="15"/>
      <c r="AL25" s="15"/>
      <c r="AM25" s="15"/>
      <c r="AN25" s="17"/>
      <c r="AO25" s="15"/>
      <c r="AP25" s="15"/>
      <c r="AQ25" s="15"/>
      <c r="AR25" s="15"/>
      <c r="AT25" t="str">
        <f t="shared" si="7"/>
        <v/>
      </c>
      <c r="AU25" t="str">
        <f t="shared" si="8"/>
        <v/>
      </c>
      <c r="AV25" s="15"/>
      <c r="AW25" s="40"/>
      <c r="AX25" s="15"/>
      <c r="AY25" s="15"/>
    </row>
    <row r="26" spans="1:51" ht="19">
      <c r="A26" s="21" t="str">
        <f t="shared" si="6"/>
        <v/>
      </c>
      <c r="B26" s="15"/>
      <c r="C26" s="15"/>
      <c r="D26" s="15"/>
      <c r="E26" s="17"/>
      <c r="F26" s="39" t="str">
        <f t="shared" ca="1" si="0"/>
        <v/>
      </c>
      <c r="G26" s="17"/>
      <c r="H26" s="15"/>
      <c r="I26" s="15"/>
      <c r="J26" s="17"/>
      <c r="K26" s="15"/>
      <c r="L26" s="15"/>
      <c r="M26" s="15"/>
      <c r="N26" s="15"/>
      <c r="O26" s="21" t="str">
        <f t="shared" si="1"/>
        <v/>
      </c>
      <c r="P26" s="21" t="str">
        <f t="shared" si="2"/>
        <v/>
      </c>
      <c r="Q26" s="15"/>
      <c r="R26" s="40"/>
      <c r="S26" s="40"/>
      <c r="T26" s="40"/>
      <c r="U26" s="40"/>
      <c r="V26" s="40"/>
      <c r="W26" s="41" t="str">
        <f t="shared" si="3"/>
        <v/>
      </c>
      <c r="X26" s="21" t="str">
        <f ca="1">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事業所設定が未入力です</v>
      </c>
      <c r="Y26" s="21" t="str">
        <f t="shared" si="4"/>
        <v/>
      </c>
      <c r="Z26" s="21" t="str">
        <f t="shared" si="5"/>
        <v/>
      </c>
      <c r="AA26" s="42"/>
      <c r="AB26" s="42"/>
      <c r="AC26" s="15"/>
      <c r="AD26" s="42"/>
      <c r="AE26" s="15"/>
      <c r="AF26" s="15"/>
      <c r="AG26" s="42"/>
      <c r="AH26" s="15"/>
      <c r="AI26" s="15"/>
      <c r="AJ26" s="15"/>
      <c r="AK26" s="15"/>
      <c r="AL26" s="15"/>
      <c r="AM26" s="15"/>
      <c r="AN26" s="17"/>
      <c r="AO26" s="15"/>
      <c r="AP26" s="15"/>
      <c r="AQ26" s="15"/>
      <c r="AR26" s="15"/>
      <c r="AT26" t="str">
        <f t="shared" si="7"/>
        <v/>
      </c>
      <c r="AU26" t="str">
        <f t="shared" si="8"/>
        <v/>
      </c>
      <c r="AV26" s="15"/>
      <c r="AW26" s="40"/>
      <c r="AX26" s="15"/>
      <c r="AY26" s="15"/>
    </row>
    <row r="27" spans="1:51" ht="19">
      <c r="A27" s="21" t="str">
        <f t="shared" si="6"/>
        <v/>
      </c>
      <c r="B27" s="15"/>
      <c r="C27" s="15"/>
      <c r="D27" s="15"/>
      <c r="E27" s="17"/>
      <c r="F27" s="39" t="str">
        <f t="shared" ca="1" si="0"/>
        <v/>
      </c>
      <c r="G27" s="17"/>
      <c r="H27" s="15"/>
      <c r="I27" s="15"/>
      <c r="J27" s="17"/>
      <c r="K27" s="15"/>
      <c r="L27" s="15"/>
      <c r="M27" s="15"/>
      <c r="N27" s="15"/>
      <c r="O27" s="21" t="str">
        <f t="shared" si="1"/>
        <v/>
      </c>
      <c r="P27" s="21" t="str">
        <f t="shared" si="2"/>
        <v/>
      </c>
      <c r="Q27" s="15"/>
      <c r="R27" s="40"/>
      <c r="S27" s="40"/>
      <c r="T27" s="40"/>
      <c r="U27" s="40"/>
      <c r="V27" s="40"/>
      <c r="W27" s="41" t="str">
        <f t="shared" si="3"/>
        <v/>
      </c>
      <c r="X27" s="21" t="str">
        <f ca="1">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事業所設定が未入力です</v>
      </c>
      <c r="Y27" s="21" t="str">
        <f t="shared" si="4"/>
        <v/>
      </c>
      <c r="Z27" s="21" t="str">
        <f t="shared" si="5"/>
        <v/>
      </c>
      <c r="AA27" s="42"/>
      <c r="AB27" s="42"/>
      <c r="AC27" s="15"/>
      <c r="AD27" s="42"/>
      <c r="AE27" s="15"/>
      <c r="AF27" s="15"/>
      <c r="AG27" s="42"/>
      <c r="AH27" s="15"/>
      <c r="AI27" s="15"/>
      <c r="AJ27" s="15"/>
      <c r="AK27" s="15"/>
      <c r="AL27" s="15"/>
      <c r="AM27" s="15"/>
      <c r="AN27" s="17"/>
      <c r="AO27" s="15"/>
      <c r="AP27" s="15"/>
      <c r="AQ27" s="15"/>
      <c r="AR27" s="15"/>
      <c r="AT27" t="str">
        <f t="shared" si="7"/>
        <v/>
      </c>
      <c r="AU27" t="str">
        <f t="shared" si="8"/>
        <v/>
      </c>
      <c r="AV27" s="15"/>
      <c r="AW27" s="40"/>
      <c r="AX27" s="15"/>
      <c r="AY27" s="15"/>
    </row>
    <row r="28" spans="1:51" ht="19">
      <c r="A28" s="21" t="str">
        <f t="shared" si="6"/>
        <v/>
      </c>
      <c r="B28" s="15"/>
      <c r="C28" s="15"/>
      <c r="D28" s="15"/>
      <c r="E28" s="17"/>
      <c r="F28" s="39" t="str">
        <f t="shared" ca="1" si="0"/>
        <v/>
      </c>
      <c r="G28" s="17"/>
      <c r="H28" s="15"/>
      <c r="I28" s="15"/>
      <c r="J28" s="17"/>
      <c r="K28" s="15"/>
      <c r="L28" s="15"/>
      <c r="M28" s="15"/>
      <c r="N28" s="15"/>
      <c r="O28" s="21" t="str">
        <f t="shared" si="1"/>
        <v/>
      </c>
      <c r="P28" s="21" t="str">
        <f t="shared" si="2"/>
        <v/>
      </c>
      <c r="Q28" s="15"/>
      <c r="R28" s="40"/>
      <c r="S28" s="40"/>
      <c r="T28" s="40"/>
      <c r="U28" s="40"/>
      <c r="V28" s="40"/>
      <c r="W28" s="41" t="str">
        <f t="shared" si="3"/>
        <v/>
      </c>
      <c r="X28" s="21" t="str">
        <f ca="1">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事業所設定が未入力です</v>
      </c>
      <c r="Y28" s="21" t="str">
        <f t="shared" si="4"/>
        <v/>
      </c>
      <c r="Z28" s="21" t="str">
        <f t="shared" si="5"/>
        <v/>
      </c>
      <c r="AA28" s="42"/>
      <c r="AB28" s="42"/>
      <c r="AC28" s="15"/>
      <c r="AD28" s="42"/>
      <c r="AE28" s="15"/>
      <c r="AF28" s="15"/>
      <c r="AG28" s="42"/>
      <c r="AH28" s="15"/>
      <c r="AI28" s="15"/>
      <c r="AJ28" s="15"/>
      <c r="AK28" s="15"/>
      <c r="AL28" s="15"/>
      <c r="AM28" s="15"/>
      <c r="AN28" s="17"/>
      <c r="AO28" s="15"/>
      <c r="AP28" s="15"/>
      <c r="AQ28" s="15"/>
      <c r="AR28" s="15"/>
      <c r="AT28" t="str">
        <f t="shared" si="7"/>
        <v/>
      </c>
      <c r="AU28" t="str">
        <f t="shared" si="8"/>
        <v/>
      </c>
      <c r="AV28" s="15"/>
      <c r="AW28" s="40"/>
      <c r="AX28" s="15"/>
      <c r="AY28" s="15"/>
    </row>
    <row r="29" spans="1:51" ht="19">
      <c r="A29" s="21" t="str">
        <f t="shared" si="6"/>
        <v/>
      </c>
      <c r="B29" s="15"/>
      <c r="C29" s="15"/>
      <c r="D29" s="15"/>
      <c r="E29" s="17"/>
      <c r="F29" s="39" t="str">
        <f t="shared" ca="1" si="0"/>
        <v/>
      </c>
      <c r="G29" s="17"/>
      <c r="H29" s="15"/>
      <c r="I29" s="15"/>
      <c r="J29" s="17"/>
      <c r="K29" s="15"/>
      <c r="L29" s="15"/>
      <c r="M29" s="15"/>
      <c r="N29" s="15"/>
      <c r="O29" s="21" t="str">
        <f t="shared" si="1"/>
        <v/>
      </c>
      <c r="P29" s="21" t="str">
        <f t="shared" si="2"/>
        <v/>
      </c>
      <c r="Q29" s="15"/>
      <c r="R29" s="40"/>
      <c r="S29" s="40"/>
      <c r="T29" s="40"/>
      <c r="U29" s="40"/>
      <c r="V29" s="40"/>
      <c r="W29" s="41" t="str">
        <f t="shared" si="3"/>
        <v/>
      </c>
      <c r="X29" s="21" t="str">
        <f ca="1">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事業所設定が未入力です</v>
      </c>
      <c r="Y29" s="21" t="str">
        <f t="shared" si="4"/>
        <v/>
      </c>
      <c r="Z29" s="21" t="str">
        <f t="shared" si="5"/>
        <v/>
      </c>
      <c r="AA29" s="42"/>
      <c r="AB29" s="42"/>
      <c r="AC29" s="15"/>
      <c r="AD29" s="42"/>
      <c r="AE29" s="15"/>
      <c r="AF29" s="15"/>
      <c r="AG29" s="42"/>
      <c r="AH29" s="15"/>
      <c r="AI29" s="15"/>
      <c r="AJ29" s="15"/>
      <c r="AK29" s="15"/>
      <c r="AL29" s="15"/>
      <c r="AM29" s="15"/>
      <c r="AN29" s="17"/>
      <c r="AO29" s="15"/>
      <c r="AP29" s="15"/>
      <c r="AQ29" s="15"/>
      <c r="AR29" s="15"/>
      <c r="AT29" t="str">
        <f t="shared" si="7"/>
        <v/>
      </c>
      <c r="AU29" t="str">
        <f t="shared" si="8"/>
        <v/>
      </c>
      <c r="AV29" s="15"/>
      <c r="AW29" s="40"/>
      <c r="AX29" s="15"/>
      <c r="AY29" s="15"/>
    </row>
    <row r="30" spans="1:51" ht="19">
      <c r="A30" s="21" t="str">
        <f t="shared" si="6"/>
        <v/>
      </c>
      <c r="B30" s="15"/>
      <c r="C30" s="15"/>
      <c r="D30" s="15"/>
      <c r="E30" s="17"/>
      <c r="F30" s="39" t="str">
        <f t="shared" ca="1" si="0"/>
        <v/>
      </c>
      <c r="G30" s="17"/>
      <c r="H30" s="15"/>
      <c r="I30" s="15"/>
      <c r="J30" s="17"/>
      <c r="K30" s="15"/>
      <c r="L30" s="15"/>
      <c r="M30" s="15"/>
      <c r="N30" s="15"/>
      <c r="O30" s="21" t="str">
        <f t="shared" si="1"/>
        <v/>
      </c>
      <c r="P30" s="21" t="str">
        <f t="shared" si="2"/>
        <v/>
      </c>
      <c r="Q30" s="15"/>
      <c r="R30" s="40"/>
      <c r="S30" s="40"/>
      <c r="T30" s="40"/>
      <c r="U30" s="40"/>
      <c r="V30" s="40"/>
      <c r="W30" s="41" t="str">
        <f t="shared" si="3"/>
        <v/>
      </c>
      <c r="X30" s="21" t="str">
        <f ca="1">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事業所設定が未入力です</v>
      </c>
      <c r="Y30" s="21" t="str">
        <f t="shared" si="4"/>
        <v/>
      </c>
      <c r="Z30" s="21" t="str">
        <f t="shared" si="5"/>
        <v/>
      </c>
      <c r="AA30" s="42"/>
      <c r="AB30" s="42"/>
      <c r="AC30" s="15"/>
      <c r="AD30" s="42"/>
      <c r="AE30" s="15"/>
      <c r="AF30" s="15"/>
      <c r="AG30" s="42"/>
      <c r="AH30" s="15"/>
      <c r="AI30" s="15"/>
      <c r="AJ30" s="15"/>
      <c r="AK30" s="15"/>
      <c r="AL30" s="15"/>
      <c r="AM30" s="15"/>
      <c r="AN30" s="17"/>
      <c r="AO30" s="15"/>
      <c r="AP30" s="15"/>
      <c r="AQ30" s="15"/>
      <c r="AR30" s="15"/>
      <c r="AT30" t="str">
        <f t="shared" si="7"/>
        <v/>
      </c>
      <c r="AU30" t="str">
        <f t="shared" si="8"/>
        <v/>
      </c>
      <c r="AV30" s="15"/>
      <c r="AW30" s="40"/>
      <c r="AX30" s="15"/>
      <c r="AY30" s="15"/>
    </row>
    <row r="31" spans="1:51" ht="19">
      <c r="A31" s="21" t="str">
        <f t="shared" si="6"/>
        <v/>
      </c>
      <c r="B31" s="15"/>
      <c r="C31" s="15"/>
      <c r="D31" s="15"/>
      <c r="E31" s="17"/>
      <c r="F31" s="39" t="str">
        <f t="shared" ca="1" si="0"/>
        <v/>
      </c>
      <c r="G31" s="17"/>
      <c r="H31" s="15"/>
      <c r="I31" s="15"/>
      <c r="J31" s="17"/>
      <c r="K31" s="15"/>
      <c r="L31" s="15"/>
      <c r="M31" s="15"/>
      <c r="N31" s="15"/>
      <c r="O31" s="21" t="str">
        <f t="shared" si="1"/>
        <v/>
      </c>
      <c r="P31" s="21" t="str">
        <f t="shared" si="2"/>
        <v/>
      </c>
      <c r="Q31" s="15"/>
      <c r="R31" s="40"/>
      <c r="S31" s="40"/>
      <c r="T31" s="40"/>
      <c r="U31" s="40"/>
      <c r="V31" s="40"/>
      <c r="W31" s="41" t="str">
        <f t="shared" si="3"/>
        <v/>
      </c>
      <c r="X31" s="21" t="str">
        <f ca="1">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事業所設定が未入力です</v>
      </c>
      <c r="Y31" s="21" t="str">
        <f t="shared" si="4"/>
        <v/>
      </c>
      <c r="Z31" s="21" t="str">
        <f t="shared" si="5"/>
        <v/>
      </c>
      <c r="AA31" s="42"/>
      <c r="AB31" s="42"/>
      <c r="AC31" s="15"/>
      <c r="AD31" s="42"/>
      <c r="AE31" s="15"/>
      <c r="AF31" s="15"/>
      <c r="AG31" s="42"/>
      <c r="AH31" s="15"/>
      <c r="AI31" s="15"/>
      <c r="AJ31" s="15"/>
      <c r="AK31" s="15"/>
      <c r="AL31" s="15"/>
      <c r="AM31" s="15"/>
      <c r="AN31" s="17"/>
      <c r="AO31" s="15"/>
      <c r="AP31" s="15"/>
      <c r="AQ31" s="15"/>
      <c r="AR31" s="15"/>
      <c r="AT31" t="str">
        <f t="shared" si="7"/>
        <v/>
      </c>
      <c r="AU31" t="str">
        <f t="shared" si="8"/>
        <v/>
      </c>
      <c r="AV31" s="15"/>
      <c r="AW31" s="40"/>
      <c r="AX31" s="15"/>
      <c r="AY31" s="15"/>
    </row>
    <row r="32" spans="1:51" ht="19">
      <c r="A32" s="21" t="str">
        <f t="shared" si="6"/>
        <v/>
      </c>
      <c r="B32" s="15"/>
      <c r="C32" s="15"/>
      <c r="D32" s="15"/>
      <c r="E32" s="17"/>
      <c r="F32" s="39" t="str">
        <f t="shared" ca="1" si="0"/>
        <v/>
      </c>
      <c r="G32" s="17"/>
      <c r="H32" s="15"/>
      <c r="I32" s="15"/>
      <c r="J32" s="17"/>
      <c r="K32" s="15"/>
      <c r="L32" s="15"/>
      <c r="M32" s="15"/>
      <c r="N32" s="15"/>
      <c r="O32" s="21" t="str">
        <f t="shared" si="1"/>
        <v/>
      </c>
      <c r="P32" s="21" t="str">
        <f t="shared" si="2"/>
        <v/>
      </c>
      <c r="Q32" s="15"/>
      <c r="R32" s="40"/>
      <c r="S32" s="40"/>
      <c r="T32" s="40"/>
      <c r="U32" s="40"/>
      <c r="V32" s="40"/>
      <c r="W32" s="41" t="str">
        <f t="shared" si="3"/>
        <v/>
      </c>
      <c r="X32" s="21" t="str">
        <f ca="1">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事業所設定が未入力です</v>
      </c>
      <c r="Y32" s="21" t="str">
        <f t="shared" si="4"/>
        <v/>
      </c>
      <c r="Z32" s="21" t="str">
        <f t="shared" si="5"/>
        <v/>
      </c>
      <c r="AA32" s="42"/>
      <c r="AB32" s="42"/>
      <c r="AC32" s="15"/>
      <c r="AD32" s="42"/>
      <c r="AE32" s="15"/>
      <c r="AF32" s="15"/>
      <c r="AG32" s="42"/>
      <c r="AH32" s="15"/>
      <c r="AI32" s="15"/>
      <c r="AJ32" s="15"/>
      <c r="AK32" s="15"/>
      <c r="AL32" s="15"/>
      <c r="AM32" s="15"/>
      <c r="AN32" s="17"/>
      <c r="AO32" s="15"/>
      <c r="AP32" s="15"/>
      <c r="AQ32" s="15"/>
      <c r="AR32" s="15"/>
      <c r="AT32" t="str">
        <f t="shared" si="7"/>
        <v/>
      </c>
      <c r="AU32" t="str">
        <f t="shared" si="8"/>
        <v/>
      </c>
      <c r="AV32" s="15"/>
      <c r="AW32" s="40"/>
      <c r="AX32" s="15"/>
      <c r="AY32" s="15"/>
    </row>
    <row r="33" spans="1:51" ht="19">
      <c r="A33" s="21" t="str">
        <f t="shared" si="6"/>
        <v/>
      </c>
      <c r="B33" s="15"/>
      <c r="C33" s="15"/>
      <c r="D33" s="15"/>
      <c r="E33" s="17"/>
      <c r="F33" s="39" t="str">
        <f t="shared" ca="1" si="0"/>
        <v/>
      </c>
      <c r="G33" s="17"/>
      <c r="H33" s="15"/>
      <c r="I33" s="15"/>
      <c r="J33" s="17"/>
      <c r="K33" s="15"/>
      <c r="L33" s="15"/>
      <c r="M33" s="15"/>
      <c r="N33" s="15"/>
      <c r="O33" s="21" t="str">
        <f t="shared" si="1"/>
        <v/>
      </c>
      <c r="P33" s="21" t="str">
        <f t="shared" si="2"/>
        <v/>
      </c>
      <c r="Q33" s="15"/>
      <c r="R33" s="40"/>
      <c r="S33" s="40"/>
      <c r="T33" s="40"/>
      <c r="U33" s="40"/>
      <c r="V33" s="40"/>
      <c r="W33" s="41" t="str">
        <f t="shared" si="3"/>
        <v/>
      </c>
      <c r="X33" s="21" t="str">
        <f ca="1">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事業所設定が未入力です</v>
      </c>
      <c r="Y33" s="21" t="str">
        <f t="shared" si="4"/>
        <v/>
      </c>
      <c r="Z33" s="21" t="str">
        <f t="shared" si="5"/>
        <v/>
      </c>
      <c r="AA33" s="42"/>
      <c r="AB33" s="42"/>
      <c r="AC33" s="15"/>
      <c r="AD33" s="42"/>
      <c r="AE33" s="15"/>
      <c r="AF33" s="15"/>
      <c r="AG33" s="42"/>
      <c r="AH33" s="15"/>
      <c r="AI33" s="15"/>
      <c r="AJ33" s="15"/>
      <c r="AK33" s="15"/>
      <c r="AL33" s="15"/>
      <c r="AM33" s="15"/>
      <c r="AN33" s="17"/>
      <c r="AO33" s="15"/>
      <c r="AP33" s="15"/>
      <c r="AQ33" s="15"/>
      <c r="AR33" s="15"/>
      <c r="AT33" t="str">
        <f t="shared" si="7"/>
        <v/>
      </c>
      <c r="AU33" t="str">
        <f t="shared" si="8"/>
        <v/>
      </c>
      <c r="AV33" s="15"/>
      <c r="AW33" s="40"/>
      <c r="AX33" s="15"/>
      <c r="AY33" s="15"/>
    </row>
    <row r="34" spans="1:51" ht="19">
      <c r="A34" s="21" t="str">
        <f t="shared" si="6"/>
        <v/>
      </c>
      <c r="B34" s="15"/>
      <c r="C34" s="15"/>
      <c r="D34" s="15"/>
      <c r="E34" s="17"/>
      <c r="F34" s="39" t="str">
        <f t="shared" ca="1" si="0"/>
        <v/>
      </c>
      <c r="G34" s="17"/>
      <c r="H34" s="15"/>
      <c r="I34" s="15"/>
      <c r="J34" s="17"/>
      <c r="K34" s="15"/>
      <c r="L34" s="15"/>
      <c r="M34" s="15"/>
      <c r="N34" s="15"/>
      <c r="O34" s="21" t="str">
        <f t="shared" si="1"/>
        <v/>
      </c>
      <c r="P34" s="21" t="str">
        <f t="shared" si="2"/>
        <v/>
      </c>
      <c r="Q34" s="15"/>
      <c r="R34" s="40"/>
      <c r="S34" s="40"/>
      <c r="T34" s="40"/>
      <c r="U34" s="40"/>
      <c r="V34" s="40"/>
      <c r="W34" s="41" t="str">
        <f t="shared" si="3"/>
        <v/>
      </c>
      <c r="X34" s="21" t="str">
        <f ca="1">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事業所設定が未入力です</v>
      </c>
      <c r="Y34" s="21" t="str">
        <f t="shared" si="4"/>
        <v/>
      </c>
      <c r="Z34" s="21" t="str">
        <f t="shared" si="5"/>
        <v/>
      </c>
      <c r="AA34" s="42"/>
      <c r="AB34" s="42"/>
      <c r="AC34" s="15"/>
      <c r="AD34" s="42"/>
      <c r="AE34" s="15"/>
      <c r="AF34" s="15"/>
      <c r="AG34" s="42"/>
      <c r="AH34" s="15"/>
      <c r="AI34" s="15"/>
      <c r="AJ34" s="15"/>
      <c r="AK34" s="15"/>
      <c r="AL34" s="15"/>
      <c r="AM34" s="15"/>
      <c r="AN34" s="17"/>
      <c r="AO34" s="15"/>
      <c r="AP34" s="15"/>
      <c r="AQ34" s="15"/>
      <c r="AR34" s="15"/>
      <c r="AT34" t="str">
        <f t="shared" si="7"/>
        <v/>
      </c>
      <c r="AU34" t="str">
        <f t="shared" si="8"/>
        <v/>
      </c>
      <c r="AV34" s="15"/>
      <c r="AW34" s="40"/>
      <c r="AX34" s="15"/>
      <c r="AY34" s="15"/>
    </row>
    <row r="35" spans="1:51" ht="19">
      <c r="A35" s="21" t="str">
        <f t="shared" si="6"/>
        <v/>
      </c>
      <c r="B35" s="15"/>
      <c r="C35" s="15"/>
      <c r="D35" s="15"/>
      <c r="E35" s="17"/>
      <c r="F35" s="39" t="str">
        <f t="shared" ca="1" si="0"/>
        <v/>
      </c>
      <c r="G35" s="17"/>
      <c r="H35" s="15"/>
      <c r="I35" s="15"/>
      <c r="J35" s="17"/>
      <c r="K35" s="15"/>
      <c r="L35" s="15"/>
      <c r="M35" s="15"/>
      <c r="N35" s="15"/>
      <c r="O35" s="21" t="str">
        <f t="shared" si="1"/>
        <v/>
      </c>
      <c r="P35" s="21" t="str">
        <f t="shared" si="2"/>
        <v/>
      </c>
      <c r="Q35" s="15"/>
      <c r="R35" s="40"/>
      <c r="S35" s="40"/>
      <c r="T35" s="40"/>
      <c r="U35" s="40"/>
      <c r="V35" s="40"/>
      <c r="W35" s="41" t="str">
        <f t="shared" si="3"/>
        <v/>
      </c>
      <c r="X35" s="21" t="str">
        <f ca="1">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事業所設定が未入力です</v>
      </c>
      <c r="Y35" s="21" t="str">
        <f t="shared" si="4"/>
        <v/>
      </c>
      <c r="Z35" s="21" t="str">
        <f t="shared" si="5"/>
        <v/>
      </c>
      <c r="AA35" s="42"/>
      <c r="AB35" s="42"/>
      <c r="AC35" s="15"/>
      <c r="AD35" s="42"/>
      <c r="AE35" s="15"/>
      <c r="AF35" s="15"/>
      <c r="AG35" s="42"/>
      <c r="AH35" s="15"/>
      <c r="AI35" s="15"/>
      <c r="AJ35" s="15"/>
      <c r="AK35" s="15"/>
      <c r="AL35" s="15"/>
      <c r="AM35" s="15"/>
      <c r="AN35" s="17"/>
      <c r="AO35" s="15"/>
      <c r="AP35" s="15"/>
      <c r="AQ35" s="15"/>
      <c r="AR35" s="15"/>
      <c r="AT35" t="str">
        <f t="shared" si="7"/>
        <v/>
      </c>
      <c r="AU35" t="str">
        <f t="shared" si="8"/>
        <v/>
      </c>
      <c r="AV35" s="15"/>
      <c r="AW35" s="40"/>
      <c r="AX35" s="15"/>
      <c r="AY35" s="15"/>
    </row>
    <row r="36" spans="1:51" ht="19">
      <c r="A36" s="21" t="str">
        <f t="shared" si="6"/>
        <v/>
      </c>
      <c r="B36" s="15"/>
      <c r="C36" s="15"/>
      <c r="D36" s="15"/>
      <c r="E36" s="17"/>
      <c r="F36" s="39" t="str">
        <f t="shared" ca="1" si="0"/>
        <v/>
      </c>
      <c r="G36" s="17"/>
      <c r="H36" s="15"/>
      <c r="I36" s="15"/>
      <c r="J36" s="17"/>
      <c r="K36" s="15"/>
      <c r="L36" s="15"/>
      <c r="M36" s="15"/>
      <c r="N36" s="15"/>
      <c r="O36" s="21" t="str">
        <f t="shared" si="1"/>
        <v/>
      </c>
      <c r="P36" s="21" t="str">
        <f t="shared" si="2"/>
        <v/>
      </c>
      <c r="Q36" s="15"/>
      <c r="R36" s="40"/>
      <c r="S36" s="40"/>
      <c r="T36" s="40"/>
      <c r="U36" s="40"/>
      <c r="V36" s="40"/>
      <c r="W36" s="41" t="str">
        <f t="shared" si="3"/>
        <v/>
      </c>
      <c r="X36" s="21" t="str">
        <f ca="1">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事業所設定が未入力です</v>
      </c>
      <c r="Y36" s="21" t="str">
        <f t="shared" si="4"/>
        <v/>
      </c>
      <c r="Z36" s="21" t="str">
        <f t="shared" si="5"/>
        <v/>
      </c>
      <c r="AA36" s="42"/>
      <c r="AB36" s="42"/>
      <c r="AC36" s="15"/>
      <c r="AD36" s="42"/>
      <c r="AE36" s="15"/>
      <c r="AF36" s="15"/>
      <c r="AG36" s="42"/>
      <c r="AH36" s="15"/>
      <c r="AI36" s="15"/>
      <c r="AJ36" s="15"/>
      <c r="AK36" s="15"/>
      <c r="AL36" s="15"/>
      <c r="AM36" s="15"/>
      <c r="AN36" s="17"/>
      <c r="AO36" s="15"/>
      <c r="AP36" s="15"/>
      <c r="AQ36" s="15"/>
      <c r="AR36" s="15"/>
      <c r="AT36" t="str">
        <f t="shared" si="7"/>
        <v/>
      </c>
      <c r="AU36" t="str">
        <f t="shared" si="8"/>
        <v/>
      </c>
      <c r="AV36" s="15"/>
      <c r="AW36" s="40"/>
      <c r="AX36" s="15"/>
      <c r="AY36" s="15"/>
    </row>
    <row r="37" spans="1:51" ht="19">
      <c r="A37" s="21" t="str">
        <f t="shared" si="6"/>
        <v/>
      </c>
      <c r="B37" s="15"/>
      <c r="C37" s="15"/>
      <c r="D37" s="15"/>
      <c r="E37" s="17"/>
      <c r="F37" s="39" t="str">
        <f t="shared" ca="1" si="0"/>
        <v/>
      </c>
      <c r="G37" s="17"/>
      <c r="H37" s="15"/>
      <c r="I37" s="15"/>
      <c r="J37" s="17"/>
      <c r="K37" s="15"/>
      <c r="L37" s="15"/>
      <c r="M37" s="15"/>
      <c r="N37" s="15"/>
      <c r="O37" s="21" t="str">
        <f t="shared" si="1"/>
        <v/>
      </c>
      <c r="P37" s="21" t="str">
        <f t="shared" si="2"/>
        <v/>
      </c>
      <c r="Q37" s="15"/>
      <c r="R37" s="40"/>
      <c r="S37" s="40"/>
      <c r="T37" s="40"/>
      <c r="U37" s="40"/>
      <c r="V37" s="40"/>
      <c r="W37" s="41" t="str">
        <f t="shared" si="3"/>
        <v/>
      </c>
      <c r="X37" s="21" t="str">
        <f ca="1">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事業所設定が未入力です</v>
      </c>
      <c r="Y37" s="21" t="str">
        <f t="shared" si="4"/>
        <v/>
      </c>
      <c r="Z37" s="21" t="str">
        <f t="shared" si="5"/>
        <v/>
      </c>
      <c r="AA37" s="42"/>
      <c r="AB37" s="42"/>
      <c r="AC37" s="15"/>
      <c r="AD37" s="42"/>
      <c r="AE37" s="15"/>
      <c r="AF37" s="15"/>
      <c r="AG37" s="42"/>
      <c r="AH37" s="15"/>
      <c r="AI37" s="15"/>
      <c r="AJ37" s="15"/>
      <c r="AK37" s="15"/>
      <c r="AL37" s="15"/>
      <c r="AM37" s="15"/>
      <c r="AN37" s="17"/>
      <c r="AO37" s="15"/>
      <c r="AP37" s="15"/>
      <c r="AQ37" s="15"/>
      <c r="AR37" s="15"/>
      <c r="AT37" t="str">
        <f t="shared" si="7"/>
        <v/>
      </c>
      <c r="AU37" t="str">
        <f t="shared" si="8"/>
        <v/>
      </c>
      <c r="AV37" s="15"/>
      <c r="AW37" s="40"/>
      <c r="AX37" s="15"/>
      <c r="AY37" s="15"/>
    </row>
    <row r="38" spans="1:51" ht="19">
      <c r="A38" s="21" t="str">
        <f t="shared" si="6"/>
        <v/>
      </c>
      <c r="B38" s="15"/>
      <c r="C38" s="15"/>
      <c r="D38" s="15"/>
      <c r="E38" s="17"/>
      <c r="F38" s="39" t="str">
        <f t="shared" ca="1" si="0"/>
        <v/>
      </c>
      <c r="G38" s="17"/>
      <c r="H38" s="15"/>
      <c r="I38" s="15"/>
      <c r="J38" s="17"/>
      <c r="K38" s="15"/>
      <c r="L38" s="15"/>
      <c r="M38" s="15"/>
      <c r="N38" s="15"/>
      <c r="O38" s="21" t="str">
        <f t="shared" si="1"/>
        <v/>
      </c>
      <c r="P38" s="21" t="str">
        <f t="shared" si="2"/>
        <v/>
      </c>
      <c r="Q38" s="15"/>
      <c r="R38" s="40"/>
      <c r="S38" s="40"/>
      <c r="T38" s="40"/>
      <c r="U38" s="40"/>
      <c r="V38" s="40"/>
      <c r="W38" s="41" t="str">
        <f t="shared" si="3"/>
        <v/>
      </c>
      <c r="X38" s="21" t="str">
        <f ca="1">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事業所設定が未入力です</v>
      </c>
      <c r="Y38" s="21" t="str">
        <f t="shared" si="4"/>
        <v/>
      </c>
      <c r="Z38" s="21" t="str">
        <f t="shared" si="5"/>
        <v/>
      </c>
      <c r="AA38" s="42"/>
      <c r="AB38" s="42"/>
      <c r="AC38" s="15"/>
      <c r="AD38" s="42"/>
      <c r="AE38" s="15"/>
      <c r="AF38" s="15"/>
      <c r="AG38" s="42"/>
      <c r="AH38" s="15"/>
      <c r="AI38" s="15"/>
      <c r="AJ38" s="15"/>
      <c r="AK38" s="15"/>
      <c r="AL38" s="15"/>
      <c r="AM38" s="15"/>
      <c r="AN38" s="17"/>
      <c r="AO38" s="15"/>
      <c r="AP38" s="15"/>
      <c r="AQ38" s="15"/>
      <c r="AR38" s="15"/>
      <c r="AT38" t="str">
        <f t="shared" si="7"/>
        <v/>
      </c>
      <c r="AU38" t="str">
        <f t="shared" si="8"/>
        <v/>
      </c>
      <c r="AV38" s="15"/>
      <c r="AW38" s="40"/>
      <c r="AX38" s="15"/>
      <c r="AY38" s="15"/>
    </row>
    <row r="39" spans="1:51" ht="19">
      <c r="A39" s="21" t="str">
        <f t="shared" si="6"/>
        <v/>
      </c>
      <c r="B39" s="15"/>
      <c r="C39" s="15"/>
      <c r="D39" s="15"/>
      <c r="E39" s="17"/>
      <c r="F39" s="39" t="str">
        <f t="shared" ca="1" si="0"/>
        <v/>
      </c>
      <c r="G39" s="17"/>
      <c r="H39" s="15"/>
      <c r="I39" s="15"/>
      <c r="J39" s="17"/>
      <c r="K39" s="15"/>
      <c r="L39" s="15"/>
      <c r="M39" s="15"/>
      <c r="N39" s="15"/>
      <c r="O39" s="21" t="str">
        <f t="shared" si="1"/>
        <v/>
      </c>
      <c r="P39" s="21" t="str">
        <f t="shared" si="2"/>
        <v/>
      </c>
      <c r="Q39" s="15"/>
      <c r="R39" s="40"/>
      <c r="S39" s="40"/>
      <c r="T39" s="40"/>
      <c r="U39" s="40"/>
      <c r="V39" s="40"/>
      <c r="W39" s="41" t="str">
        <f t="shared" si="3"/>
        <v/>
      </c>
      <c r="X39" s="21" t="str">
        <f ca="1">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事業所設定が未入力です</v>
      </c>
      <c r="Y39" s="21" t="str">
        <f t="shared" si="4"/>
        <v/>
      </c>
      <c r="Z39" s="21" t="str">
        <f t="shared" si="5"/>
        <v/>
      </c>
      <c r="AA39" s="42"/>
      <c r="AB39" s="42"/>
      <c r="AC39" s="15"/>
      <c r="AD39" s="42"/>
      <c r="AE39" s="15"/>
      <c r="AF39" s="15"/>
      <c r="AG39" s="42"/>
      <c r="AH39" s="15"/>
      <c r="AI39" s="15"/>
      <c r="AJ39" s="15"/>
      <c r="AK39" s="15"/>
      <c r="AL39" s="15"/>
      <c r="AM39" s="15"/>
      <c r="AN39" s="17"/>
      <c r="AO39" s="15"/>
      <c r="AP39" s="15"/>
      <c r="AQ39" s="15"/>
      <c r="AR39" s="15"/>
      <c r="AT39" t="str">
        <f t="shared" si="7"/>
        <v/>
      </c>
      <c r="AU39" t="str">
        <f t="shared" si="8"/>
        <v/>
      </c>
      <c r="AV39" s="15"/>
      <c r="AW39" s="40"/>
      <c r="AX39" s="15"/>
      <c r="AY39" s="15"/>
    </row>
    <row r="40" spans="1:51" ht="19">
      <c r="A40" s="21" t="str">
        <f t="shared" si="6"/>
        <v/>
      </c>
      <c r="B40" s="15"/>
      <c r="C40" s="15"/>
      <c r="D40" s="15"/>
      <c r="E40" s="17"/>
      <c r="F40" s="39" t="str">
        <f t="shared" ref="F40:F58" ca="1" si="9">IF(OR($E40="",$E40&gt;80000),"",DATEDIF($E40,IF(OR($G40="",$G40&gt;80000),TODAY(),$G40),"Y"))</f>
        <v/>
      </c>
      <c r="G40" s="17"/>
      <c r="H40" s="15"/>
      <c r="I40" s="15"/>
      <c r="J40" s="17"/>
      <c r="K40" s="15"/>
      <c r="L40" s="15"/>
      <c r="M40" s="15"/>
      <c r="N40" s="15"/>
      <c r="O40" s="21" t="str">
        <f t="shared" ref="O40:O58" si="10">IF($B40="","",IF($I40="なし","あり",IF($I40&lt;&gt;"あり","",IF($K40="更新の可能性あり","あり",IF(OR($J40="",$G40=""),"なし",IF(OR(NOT(ISNUMBER($G40)),NOT(ISNUMBER($J40)),$G40&gt;80000,$J40&gt;80000),"要確認（日付）",IF($J40&gt;IF(DAY(EDATE($G40,2))&lt;DAY($G40),EOMONTH($G40,2),EDATE($G40,2)-1),"あり","なし")))))))</f>
        <v/>
      </c>
      <c r="P40" s="21" t="str">
        <f t="shared" ref="P40:P58" si="11">IF($B40="","",IF($I40="なし","あり",IF($I40="あり",IF(OR($K40="更新の可能性あり",AND($J40&lt;&gt;"",$G40&lt;&gt;"",$J40-$G40+1&gt;=31)),"あり","なし"),"")))</f>
        <v/>
      </c>
      <c r="Q40" s="15"/>
      <c r="R40" s="40"/>
      <c r="S40" s="40"/>
      <c r="T40" s="40"/>
      <c r="U40" s="40"/>
      <c r="V40" s="40"/>
      <c r="W40" s="41" t="str">
        <f t="shared" ref="W40:W58" si="12">IF($B40="","",SUM($S40,$T40,$U40,$V40))</f>
        <v/>
      </c>
      <c r="X40" s="21" t="str">
        <f ca="1">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事業所設定が未入力です</v>
      </c>
      <c r="Y40" s="21" t="str">
        <f t="shared" ref="Y40:Y58" si="13">IF($B40="","",TRIM(IF(AND($F40&lt;&gt;"",$F40&gt;=70,ISNUMBER(SEARCH("加入（",$X40))),"厚年対象外（70歳以上被用者該当届） ","")&amp;IF(AND($F40&lt;&gt;"",$F40&gt;=75),"健保対象外（後期高齢者医療） ","")&amp;IF(AND($F40&lt;&gt;"",$F40&gt;=65,$Z40="加入"),"雇保：高年齢被保険者 ","")))</f>
        <v/>
      </c>
      <c r="Z40" s="21" t="str">
        <f t="shared" ref="Z40:Z58" si="14">IF($B40="","",IF($H40="役員","対象外（兼務役員なら要相談）",IF(AND($L40&gt;=20,$P40="あり",$N40&lt;&gt;"昼間部の学生"),"加入","加入対象外")))</f>
        <v/>
      </c>
      <c r="AA40" s="42"/>
      <c r="AB40" s="42"/>
      <c r="AC40" s="15"/>
      <c r="AD40" s="42"/>
      <c r="AE40" s="15"/>
      <c r="AF40" s="15"/>
      <c r="AG40" s="42"/>
      <c r="AH40" s="15"/>
      <c r="AI40" s="15"/>
      <c r="AJ40" s="15"/>
      <c r="AK40" s="15"/>
      <c r="AL40" s="15"/>
      <c r="AM40" s="15"/>
      <c r="AN40" s="17"/>
      <c r="AO40" s="15"/>
      <c r="AP40" s="15"/>
      <c r="AQ40" s="15"/>
      <c r="AR40" s="15"/>
      <c r="AT40" t="str">
        <f t="shared" si="7"/>
        <v/>
      </c>
      <c r="AU40" t="str">
        <f t="shared" si="8"/>
        <v/>
      </c>
      <c r="AV40" s="15"/>
      <c r="AW40" s="40"/>
      <c r="AX40" s="15"/>
      <c r="AY40" s="15"/>
    </row>
    <row r="41" spans="1:51" ht="19">
      <c r="A41" s="21" t="str">
        <f t="shared" ref="A41:A58" si="15">IF($B41="","",ROW()-8)</f>
        <v/>
      </c>
      <c r="B41" s="15"/>
      <c r="C41" s="15"/>
      <c r="D41" s="15"/>
      <c r="E41" s="17"/>
      <c r="F41" s="39" t="str">
        <f t="shared" ca="1" si="9"/>
        <v/>
      </c>
      <c r="G41" s="17"/>
      <c r="H41" s="15"/>
      <c r="I41" s="15"/>
      <c r="J41" s="17"/>
      <c r="K41" s="15"/>
      <c r="L41" s="15"/>
      <c r="M41" s="15"/>
      <c r="N41" s="15"/>
      <c r="O41" s="21" t="str">
        <f t="shared" si="10"/>
        <v/>
      </c>
      <c r="P41" s="21" t="str">
        <f t="shared" si="11"/>
        <v/>
      </c>
      <c r="Q41" s="15"/>
      <c r="R41" s="40"/>
      <c r="S41" s="40"/>
      <c r="T41" s="40"/>
      <c r="U41" s="40"/>
      <c r="V41" s="40"/>
      <c r="W41" s="41" t="str">
        <f t="shared" si="12"/>
        <v/>
      </c>
      <c r="X41" s="21" t="str">
        <f ca="1">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事業所設定が未入力です</v>
      </c>
      <c r="Y41" s="21" t="str">
        <f t="shared" si="13"/>
        <v/>
      </c>
      <c r="Z41" s="21" t="str">
        <f t="shared" si="14"/>
        <v/>
      </c>
      <c r="AA41" s="42"/>
      <c r="AB41" s="42"/>
      <c r="AC41" s="15"/>
      <c r="AD41" s="42"/>
      <c r="AE41" s="15"/>
      <c r="AF41" s="15"/>
      <c r="AG41" s="42"/>
      <c r="AH41" s="15"/>
      <c r="AI41" s="15"/>
      <c r="AJ41" s="15"/>
      <c r="AK41" s="15"/>
      <c r="AL41" s="15"/>
      <c r="AM41" s="15"/>
      <c r="AN41" s="17"/>
      <c r="AO41" s="15"/>
      <c r="AP41" s="15"/>
      <c r="AQ41" s="15"/>
      <c r="AR41" s="15"/>
      <c r="AT41" t="str">
        <f t="shared" ref="AT41:AT58" si="16">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t="str">
        <f t="shared" ref="AU41:AU58" si="17">IF($B41="","",IF(AND($AA41&lt;&gt;"",$AA41&lt;&gt;"後日提出",$AA41&lt;&gt;"別経路提出",LEN($AA41)&lt;&gt;12),1,0)+IF(AND($AB41&lt;&gt;"",$AB41&lt;&gt;"後日提出",LEN($AB41)&lt;&gt;10),1,0)+IF(AND($AD41&lt;&gt;"",$AD41&lt;&gt;"後日提出",LEN($AD41)&lt;&gt;11),1,0)+IF(AND($AG41&lt;&gt;"",LEN(SUBSTITUTE($AG41,"-",""))&lt;&gt;7),1,0))</f>
        <v/>
      </c>
      <c r="AV41" s="15"/>
      <c r="AW41" s="40"/>
      <c r="AX41" s="15"/>
      <c r="AY41" s="15"/>
    </row>
    <row r="42" spans="1:51" ht="19">
      <c r="A42" s="21" t="str">
        <f t="shared" si="15"/>
        <v/>
      </c>
      <c r="B42" s="15"/>
      <c r="C42" s="15"/>
      <c r="D42" s="15"/>
      <c r="E42" s="17"/>
      <c r="F42" s="39" t="str">
        <f t="shared" ca="1" si="9"/>
        <v/>
      </c>
      <c r="G42" s="17"/>
      <c r="H42" s="15"/>
      <c r="I42" s="15"/>
      <c r="J42" s="17"/>
      <c r="K42" s="15"/>
      <c r="L42" s="15"/>
      <c r="M42" s="15"/>
      <c r="N42" s="15"/>
      <c r="O42" s="21" t="str">
        <f t="shared" si="10"/>
        <v/>
      </c>
      <c r="P42" s="21" t="str">
        <f t="shared" si="11"/>
        <v/>
      </c>
      <c r="Q42" s="15"/>
      <c r="R42" s="40"/>
      <c r="S42" s="40"/>
      <c r="T42" s="40"/>
      <c r="U42" s="40"/>
      <c r="V42" s="40"/>
      <c r="W42" s="41" t="str">
        <f t="shared" si="12"/>
        <v/>
      </c>
      <c r="X42" s="21" t="str">
        <f ca="1">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事業所設定が未入力です</v>
      </c>
      <c r="Y42" s="21" t="str">
        <f t="shared" si="13"/>
        <v/>
      </c>
      <c r="Z42" s="21" t="str">
        <f t="shared" si="14"/>
        <v/>
      </c>
      <c r="AA42" s="42"/>
      <c r="AB42" s="42"/>
      <c r="AC42" s="15"/>
      <c r="AD42" s="42"/>
      <c r="AE42" s="15"/>
      <c r="AF42" s="15"/>
      <c r="AG42" s="42"/>
      <c r="AH42" s="15"/>
      <c r="AI42" s="15"/>
      <c r="AJ42" s="15"/>
      <c r="AK42" s="15"/>
      <c r="AL42" s="15"/>
      <c r="AM42" s="15"/>
      <c r="AN42" s="17"/>
      <c r="AO42" s="15"/>
      <c r="AP42" s="15"/>
      <c r="AQ42" s="15"/>
      <c r="AR42" s="15"/>
      <c r="AT42" t="str">
        <f t="shared" si="16"/>
        <v/>
      </c>
      <c r="AU42" t="str">
        <f t="shared" si="17"/>
        <v/>
      </c>
      <c r="AV42" s="15"/>
      <c r="AW42" s="40"/>
      <c r="AX42" s="15"/>
      <c r="AY42" s="15"/>
    </row>
    <row r="43" spans="1:51" ht="19">
      <c r="A43" s="21" t="str">
        <f t="shared" si="15"/>
        <v/>
      </c>
      <c r="B43" s="15"/>
      <c r="C43" s="15"/>
      <c r="D43" s="15"/>
      <c r="E43" s="17"/>
      <c r="F43" s="39" t="str">
        <f t="shared" ca="1" si="9"/>
        <v/>
      </c>
      <c r="G43" s="17"/>
      <c r="H43" s="15"/>
      <c r="I43" s="15"/>
      <c r="J43" s="17"/>
      <c r="K43" s="15"/>
      <c r="L43" s="15"/>
      <c r="M43" s="15"/>
      <c r="N43" s="15"/>
      <c r="O43" s="21" t="str">
        <f t="shared" si="10"/>
        <v/>
      </c>
      <c r="P43" s="21" t="str">
        <f t="shared" si="11"/>
        <v/>
      </c>
      <c r="Q43" s="15"/>
      <c r="R43" s="40"/>
      <c r="S43" s="40"/>
      <c r="T43" s="40"/>
      <c r="U43" s="40"/>
      <c r="V43" s="40"/>
      <c r="W43" s="41" t="str">
        <f t="shared" si="12"/>
        <v/>
      </c>
      <c r="X43" s="21" t="str">
        <f ca="1">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事業所設定が未入力です</v>
      </c>
      <c r="Y43" s="21" t="str">
        <f t="shared" si="13"/>
        <v/>
      </c>
      <c r="Z43" s="21" t="str">
        <f t="shared" si="14"/>
        <v/>
      </c>
      <c r="AA43" s="42"/>
      <c r="AB43" s="42"/>
      <c r="AC43" s="15"/>
      <c r="AD43" s="42"/>
      <c r="AE43" s="15"/>
      <c r="AF43" s="15"/>
      <c r="AG43" s="42"/>
      <c r="AH43" s="15"/>
      <c r="AI43" s="15"/>
      <c r="AJ43" s="15"/>
      <c r="AK43" s="15"/>
      <c r="AL43" s="15"/>
      <c r="AM43" s="15"/>
      <c r="AN43" s="17"/>
      <c r="AO43" s="15"/>
      <c r="AP43" s="15"/>
      <c r="AQ43" s="15"/>
      <c r="AR43" s="15"/>
      <c r="AT43" t="str">
        <f t="shared" si="16"/>
        <v/>
      </c>
      <c r="AU43" t="str">
        <f t="shared" si="17"/>
        <v/>
      </c>
      <c r="AV43" s="15"/>
      <c r="AW43" s="40"/>
      <c r="AX43" s="15"/>
      <c r="AY43" s="15"/>
    </row>
    <row r="44" spans="1:51" ht="19">
      <c r="A44" s="21" t="str">
        <f t="shared" si="15"/>
        <v/>
      </c>
      <c r="B44" s="15"/>
      <c r="C44" s="15"/>
      <c r="D44" s="15"/>
      <c r="E44" s="17"/>
      <c r="F44" s="39" t="str">
        <f t="shared" ca="1" si="9"/>
        <v/>
      </c>
      <c r="G44" s="17"/>
      <c r="H44" s="15"/>
      <c r="I44" s="15"/>
      <c r="J44" s="17"/>
      <c r="K44" s="15"/>
      <c r="L44" s="15"/>
      <c r="M44" s="15"/>
      <c r="N44" s="15"/>
      <c r="O44" s="21" t="str">
        <f t="shared" si="10"/>
        <v/>
      </c>
      <c r="P44" s="21" t="str">
        <f t="shared" si="11"/>
        <v/>
      </c>
      <c r="Q44" s="15"/>
      <c r="R44" s="40"/>
      <c r="S44" s="40"/>
      <c r="T44" s="40"/>
      <c r="U44" s="40"/>
      <c r="V44" s="40"/>
      <c r="W44" s="41" t="str">
        <f t="shared" si="12"/>
        <v/>
      </c>
      <c r="X44" s="21" t="str">
        <f ca="1">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事業所設定が未入力です</v>
      </c>
      <c r="Y44" s="21" t="str">
        <f t="shared" si="13"/>
        <v/>
      </c>
      <c r="Z44" s="21" t="str">
        <f t="shared" si="14"/>
        <v/>
      </c>
      <c r="AA44" s="42"/>
      <c r="AB44" s="42"/>
      <c r="AC44" s="15"/>
      <c r="AD44" s="42"/>
      <c r="AE44" s="15"/>
      <c r="AF44" s="15"/>
      <c r="AG44" s="42"/>
      <c r="AH44" s="15"/>
      <c r="AI44" s="15"/>
      <c r="AJ44" s="15"/>
      <c r="AK44" s="15"/>
      <c r="AL44" s="15"/>
      <c r="AM44" s="15"/>
      <c r="AN44" s="17"/>
      <c r="AO44" s="15"/>
      <c r="AP44" s="15"/>
      <c r="AQ44" s="15"/>
      <c r="AR44" s="15"/>
      <c r="AT44" t="str">
        <f t="shared" si="16"/>
        <v/>
      </c>
      <c r="AU44" t="str">
        <f t="shared" si="17"/>
        <v/>
      </c>
      <c r="AV44" s="15"/>
      <c r="AW44" s="40"/>
      <c r="AX44" s="15"/>
      <c r="AY44" s="15"/>
    </row>
    <row r="45" spans="1:51" ht="19">
      <c r="A45" s="21" t="str">
        <f t="shared" si="15"/>
        <v/>
      </c>
      <c r="B45" s="15"/>
      <c r="C45" s="15"/>
      <c r="D45" s="15"/>
      <c r="E45" s="17"/>
      <c r="F45" s="39" t="str">
        <f t="shared" ca="1" si="9"/>
        <v/>
      </c>
      <c r="G45" s="17"/>
      <c r="H45" s="15"/>
      <c r="I45" s="15"/>
      <c r="J45" s="17"/>
      <c r="K45" s="15"/>
      <c r="L45" s="15"/>
      <c r="M45" s="15"/>
      <c r="N45" s="15"/>
      <c r="O45" s="21" t="str">
        <f t="shared" si="10"/>
        <v/>
      </c>
      <c r="P45" s="21" t="str">
        <f t="shared" si="11"/>
        <v/>
      </c>
      <c r="Q45" s="15"/>
      <c r="R45" s="40"/>
      <c r="S45" s="40"/>
      <c r="T45" s="40"/>
      <c r="U45" s="40"/>
      <c r="V45" s="40"/>
      <c r="W45" s="41" t="str">
        <f t="shared" si="12"/>
        <v/>
      </c>
      <c r="X45" s="21" t="str">
        <f ca="1">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事業所設定が未入力です</v>
      </c>
      <c r="Y45" s="21" t="str">
        <f t="shared" si="13"/>
        <v/>
      </c>
      <c r="Z45" s="21" t="str">
        <f t="shared" si="14"/>
        <v/>
      </c>
      <c r="AA45" s="42"/>
      <c r="AB45" s="42"/>
      <c r="AC45" s="15"/>
      <c r="AD45" s="42"/>
      <c r="AE45" s="15"/>
      <c r="AF45" s="15"/>
      <c r="AG45" s="42"/>
      <c r="AH45" s="15"/>
      <c r="AI45" s="15"/>
      <c r="AJ45" s="15"/>
      <c r="AK45" s="15"/>
      <c r="AL45" s="15"/>
      <c r="AM45" s="15"/>
      <c r="AN45" s="17"/>
      <c r="AO45" s="15"/>
      <c r="AP45" s="15"/>
      <c r="AQ45" s="15"/>
      <c r="AR45" s="15"/>
      <c r="AT45" t="str">
        <f t="shared" si="16"/>
        <v/>
      </c>
      <c r="AU45" t="str">
        <f t="shared" si="17"/>
        <v/>
      </c>
      <c r="AV45" s="15"/>
      <c r="AW45" s="40"/>
      <c r="AX45" s="15"/>
      <c r="AY45" s="15"/>
    </row>
    <row r="46" spans="1:51" ht="19">
      <c r="A46" s="21" t="str">
        <f t="shared" si="15"/>
        <v/>
      </c>
      <c r="B46" s="15"/>
      <c r="C46" s="15"/>
      <c r="D46" s="15"/>
      <c r="E46" s="17"/>
      <c r="F46" s="39" t="str">
        <f t="shared" ca="1" si="9"/>
        <v/>
      </c>
      <c r="G46" s="17"/>
      <c r="H46" s="15"/>
      <c r="I46" s="15"/>
      <c r="J46" s="17"/>
      <c r="K46" s="15"/>
      <c r="L46" s="15"/>
      <c r="M46" s="15"/>
      <c r="N46" s="15"/>
      <c r="O46" s="21" t="str">
        <f t="shared" si="10"/>
        <v/>
      </c>
      <c r="P46" s="21" t="str">
        <f t="shared" si="11"/>
        <v/>
      </c>
      <c r="Q46" s="15"/>
      <c r="R46" s="40"/>
      <c r="S46" s="40"/>
      <c r="T46" s="40"/>
      <c r="U46" s="40"/>
      <c r="V46" s="40"/>
      <c r="W46" s="41" t="str">
        <f t="shared" si="12"/>
        <v/>
      </c>
      <c r="X46" s="21" t="str">
        <f ca="1">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事業所設定が未入力です</v>
      </c>
      <c r="Y46" s="21" t="str">
        <f t="shared" si="13"/>
        <v/>
      </c>
      <c r="Z46" s="21" t="str">
        <f t="shared" si="14"/>
        <v/>
      </c>
      <c r="AA46" s="42"/>
      <c r="AB46" s="42"/>
      <c r="AC46" s="15"/>
      <c r="AD46" s="42"/>
      <c r="AE46" s="15"/>
      <c r="AF46" s="15"/>
      <c r="AG46" s="42"/>
      <c r="AH46" s="15"/>
      <c r="AI46" s="15"/>
      <c r="AJ46" s="15"/>
      <c r="AK46" s="15"/>
      <c r="AL46" s="15"/>
      <c r="AM46" s="15"/>
      <c r="AN46" s="17"/>
      <c r="AO46" s="15"/>
      <c r="AP46" s="15"/>
      <c r="AQ46" s="15"/>
      <c r="AR46" s="15"/>
      <c r="AT46" t="str">
        <f t="shared" si="16"/>
        <v/>
      </c>
      <c r="AU46" t="str">
        <f t="shared" si="17"/>
        <v/>
      </c>
      <c r="AV46" s="15"/>
      <c r="AW46" s="40"/>
      <c r="AX46" s="15"/>
      <c r="AY46" s="15"/>
    </row>
    <row r="47" spans="1:51" ht="19">
      <c r="A47" s="21" t="str">
        <f t="shared" si="15"/>
        <v/>
      </c>
      <c r="B47" s="15"/>
      <c r="C47" s="15"/>
      <c r="D47" s="15"/>
      <c r="E47" s="17"/>
      <c r="F47" s="39" t="str">
        <f t="shared" ca="1" si="9"/>
        <v/>
      </c>
      <c r="G47" s="17"/>
      <c r="H47" s="15"/>
      <c r="I47" s="15"/>
      <c r="J47" s="17"/>
      <c r="K47" s="15"/>
      <c r="L47" s="15"/>
      <c r="M47" s="15"/>
      <c r="N47" s="15"/>
      <c r="O47" s="21" t="str">
        <f t="shared" si="10"/>
        <v/>
      </c>
      <c r="P47" s="21" t="str">
        <f t="shared" si="11"/>
        <v/>
      </c>
      <c r="Q47" s="15"/>
      <c r="R47" s="40"/>
      <c r="S47" s="40"/>
      <c r="T47" s="40"/>
      <c r="U47" s="40"/>
      <c r="V47" s="40"/>
      <c r="W47" s="41" t="str">
        <f t="shared" si="12"/>
        <v/>
      </c>
      <c r="X47" s="21" t="str">
        <f ca="1">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事業所設定が未入力です</v>
      </c>
      <c r="Y47" s="21" t="str">
        <f t="shared" si="13"/>
        <v/>
      </c>
      <c r="Z47" s="21" t="str">
        <f t="shared" si="14"/>
        <v/>
      </c>
      <c r="AA47" s="42"/>
      <c r="AB47" s="42"/>
      <c r="AC47" s="15"/>
      <c r="AD47" s="42"/>
      <c r="AE47" s="15"/>
      <c r="AF47" s="15"/>
      <c r="AG47" s="42"/>
      <c r="AH47" s="15"/>
      <c r="AI47" s="15"/>
      <c r="AJ47" s="15"/>
      <c r="AK47" s="15"/>
      <c r="AL47" s="15"/>
      <c r="AM47" s="15"/>
      <c r="AN47" s="17"/>
      <c r="AO47" s="15"/>
      <c r="AP47" s="15"/>
      <c r="AQ47" s="15"/>
      <c r="AR47" s="15"/>
      <c r="AT47" t="str">
        <f t="shared" si="16"/>
        <v/>
      </c>
      <c r="AU47" t="str">
        <f t="shared" si="17"/>
        <v/>
      </c>
      <c r="AV47" s="15"/>
      <c r="AW47" s="40"/>
      <c r="AX47" s="15"/>
      <c r="AY47" s="15"/>
    </row>
    <row r="48" spans="1:51" ht="19">
      <c r="A48" s="21" t="str">
        <f t="shared" si="15"/>
        <v/>
      </c>
      <c r="B48" s="15"/>
      <c r="C48" s="15"/>
      <c r="D48" s="15"/>
      <c r="E48" s="17"/>
      <c r="F48" s="39" t="str">
        <f t="shared" ca="1" si="9"/>
        <v/>
      </c>
      <c r="G48" s="17"/>
      <c r="H48" s="15"/>
      <c r="I48" s="15"/>
      <c r="J48" s="17"/>
      <c r="K48" s="15"/>
      <c r="L48" s="15"/>
      <c r="M48" s="15"/>
      <c r="N48" s="15"/>
      <c r="O48" s="21" t="str">
        <f t="shared" si="10"/>
        <v/>
      </c>
      <c r="P48" s="21" t="str">
        <f t="shared" si="11"/>
        <v/>
      </c>
      <c r="Q48" s="15"/>
      <c r="R48" s="40"/>
      <c r="S48" s="40"/>
      <c r="T48" s="40"/>
      <c r="U48" s="40"/>
      <c r="V48" s="40"/>
      <c r="W48" s="41" t="str">
        <f t="shared" si="12"/>
        <v/>
      </c>
      <c r="X48" s="21" t="str">
        <f ca="1">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事業所設定が未入力です</v>
      </c>
      <c r="Y48" s="21" t="str">
        <f t="shared" si="13"/>
        <v/>
      </c>
      <c r="Z48" s="21" t="str">
        <f t="shared" si="14"/>
        <v/>
      </c>
      <c r="AA48" s="42"/>
      <c r="AB48" s="42"/>
      <c r="AC48" s="15"/>
      <c r="AD48" s="42"/>
      <c r="AE48" s="15"/>
      <c r="AF48" s="15"/>
      <c r="AG48" s="42"/>
      <c r="AH48" s="15"/>
      <c r="AI48" s="15"/>
      <c r="AJ48" s="15"/>
      <c r="AK48" s="15"/>
      <c r="AL48" s="15"/>
      <c r="AM48" s="15"/>
      <c r="AN48" s="17"/>
      <c r="AO48" s="15"/>
      <c r="AP48" s="15"/>
      <c r="AQ48" s="15"/>
      <c r="AR48" s="15"/>
      <c r="AT48" t="str">
        <f t="shared" si="16"/>
        <v/>
      </c>
      <c r="AU48" t="str">
        <f t="shared" si="17"/>
        <v/>
      </c>
      <c r="AV48" s="15"/>
      <c r="AW48" s="40"/>
      <c r="AX48" s="15"/>
      <c r="AY48" s="15"/>
    </row>
    <row r="49" spans="1:51" ht="19">
      <c r="A49" s="21" t="str">
        <f t="shared" si="15"/>
        <v/>
      </c>
      <c r="B49" s="15"/>
      <c r="C49" s="15"/>
      <c r="D49" s="15"/>
      <c r="E49" s="17"/>
      <c r="F49" s="39" t="str">
        <f t="shared" ca="1" si="9"/>
        <v/>
      </c>
      <c r="G49" s="17"/>
      <c r="H49" s="15"/>
      <c r="I49" s="15"/>
      <c r="J49" s="17"/>
      <c r="K49" s="15"/>
      <c r="L49" s="15"/>
      <c r="M49" s="15"/>
      <c r="N49" s="15"/>
      <c r="O49" s="21" t="str">
        <f t="shared" si="10"/>
        <v/>
      </c>
      <c r="P49" s="21" t="str">
        <f t="shared" si="11"/>
        <v/>
      </c>
      <c r="Q49" s="15"/>
      <c r="R49" s="40"/>
      <c r="S49" s="40"/>
      <c r="T49" s="40"/>
      <c r="U49" s="40"/>
      <c r="V49" s="40"/>
      <c r="W49" s="41" t="str">
        <f t="shared" si="12"/>
        <v/>
      </c>
      <c r="X49" s="21" t="str">
        <f ca="1">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事業所設定が未入力です</v>
      </c>
      <c r="Y49" s="21" t="str">
        <f t="shared" si="13"/>
        <v/>
      </c>
      <c r="Z49" s="21" t="str">
        <f t="shared" si="14"/>
        <v/>
      </c>
      <c r="AA49" s="42"/>
      <c r="AB49" s="42"/>
      <c r="AC49" s="15"/>
      <c r="AD49" s="42"/>
      <c r="AE49" s="15"/>
      <c r="AF49" s="15"/>
      <c r="AG49" s="42"/>
      <c r="AH49" s="15"/>
      <c r="AI49" s="15"/>
      <c r="AJ49" s="15"/>
      <c r="AK49" s="15"/>
      <c r="AL49" s="15"/>
      <c r="AM49" s="15"/>
      <c r="AN49" s="17"/>
      <c r="AO49" s="15"/>
      <c r="AP49" s="15"/>
      <c r="AQ49" s="15"/>
      <c r="AR49" s="15"/>
      <c r="AT49" t="str">
        <f t="shared" si="16"/>
        <v/>
      </c>
      <c r="AU49" t="str">
        <f t="shared" si="17"/>
        <v/>
      </c>
      <c r="AV49" s="15"/>
      <c r="AW49" s="40"/>
      <c r="AX49" s="15"/>
      <c r="AY49" s="15"/>
    </row>
    <row r="50" spans="1:51" ht="19">
      <c r="A50" s="21" t="str">
        <f t="shared" si="15"/>
        <v/>
      </c>
      <c r="B50" s="15"/>
      <c r="C50" s="15"/>
      <c r="D50" s="15"/>
      <c r="E50" s="17"/>
      <c r="F50" s="39" t="str">
        <f t="shared" ca="1" si="9"/>
        <v/>
      </c>
      <c r="G50" s="17"/>
      <c r="H50" s="15"/>
      <c r="I50" s="15"/>
      <c r="J50" s="17"/>
      <c r="K50" s="15"/>
      <c r="L50" s="15"/>
      <c r="M50" s="15"/>
      <c r="N50" s="15"/>
      <c r="O50" s="21" t="str">
        <f t="shared" si="10"/>
        <v/>
      </c>
      <c r="P50" s="21" t="str">
        <f t="shared" si="11"/>
        <v/>
      </c>
      <c r="Q50" s="15"/>
      <c r="R50" s="40"/>
      <c r="S50" s="40"/>
      <c r="T50" s="40"/>
      <c r="U50" s="40"/>
      <c r="V50" s="40"/>
      <c r="W50" s="41" t="str">
        <f t="shared" si="12"/>
        <v/>
      </c>
      <c r="X50" s="21" t="str">
        <f ca="1">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事業所設定が未入力です</v>
      </c>
      <c r="Y50" s="21" t="str">
        <f t="shared" si="13"/>
        <v/>
      </c>
      <c r="Z50" s="21" t="str">
        <f t="shared" si="14"/>
        <v/>
      </c>
      <c r="AA50" s="42"/>
      <c r="AB50" s="42"/>
      <c r="AC50" s="15"/>
      <c r="AD50" s="42"/>
      <c r="AE50" s="15"/>
      <c r="AF50" s="15"/>
      <c r="AG50" s="42"/>
      <c r="AH50" s="15"/>
      <c r="AI50" s="15"/>
      <c r="AJ50" s="15"/>
      <c r="AK50" s="15"/>
      <c r="AL50" s="15"/>
      <c r="AM50" s="15"/>
      <c r="AN50" s="17"/>
      <c r="AO50" s="15"/>
      <c r="AP50" s="15"/>
      <c r="AQ50" s="15"/>
      <c r="AR50" s="15"/>
      <c r="AT50" t="str">
        <f t="shared" si="16"/>
        <v/>
      </c>
      <c r="AU50" t="str">
        <f t="shared" si="17"/>
        <v/>
      </c>
      <c r="AV50" s="15"/>
      <c r="AW50" s="40"/>
      <c r="AX50" s="15"/>
      <c r="AY50" s="15"/>
    </row>
    <row r="51" spans="1:51" ht="19">
      <c r="A51" s="21" t="str">
        <f t="shared" si="15"/>
        <v/>
      </c>
      <c r="B51" s="15"/>
      <c r="C51" s="15"/>
      <c r="D51" s="15"/>
      <c r="E51" s="17"/>
      <c r="F51" s="39" t="str">
        <f t="shared" ca="1" si="9"/>
        <v/>
      </c>
      <c r="G51" s="17"/>
      <c r="H51" s="15"/>
      <c r="I51" s="15"/>
      <c r="J51" s="17"/>
      <c r="K51" s="15"/>
      <c r="L51" s="15"/>
      <c r="M51" s="15"/>
      <c r="N51" s="15"/>
      <c r="O51" s="21" t="str">
        <f t="shared" si="10"/>
        <v/>
      </c>
      <c r="P51" s="21" t="str">
        <f t="shared" si="11"/>
        <v/>
      </c>
      <c r="Q51" s="15"/>
      <c r="R51" s="40"/>
      <c r="S51" s="40"/>
      <c r="T51" s="40"/>
      <c r="U51" s="40"/>
      <c r="V51" s="40"/>
      <c r="W51" s="41" t="str">
        <f t="shared" si="12"/>
        <v/>
      </c>
      <c r="X51" s="21" t="str">
        <f ca="1">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事業所設定が未入力です</v>
      </c>
      <c r="Y51" s="21" t="str">
        <f t="shared" si="13"/>
        <v/>
      </c>
      <c r="Z51" s="21" t="str">
        <f t="shared" si="14"/>
        <v/>
      </c>
      <c r="AA51" s="42"/>
      <c r="AB51" s="42"/>
      <c r="AC51" s="15"/>
      <c r="AD51" s="42"/>
      <c r="AE51" s="15"/>
      <c r="AF51" s="15"/>
      <c r="AG51" s="42"/>
      <c r="AH51" s="15"/>
      <c r="AI51" s="15"/>
      <c r="AJ51" s="15"/>
      <c r="AK51" s="15"/>
      <c r="AL51" s="15"/>
      <c r="AM51" s="15"/>
      <c r="AN51" s="17"/>
      <c r="AO51" s="15"/>
      <c r="AP51" s="15"/>
      <c r="AQ51" s="15"/>
      <c r="AR51" s="15"/>
      <c r="AT51" t="str">
        <f t="shared" si="16"/>
        <v/>
      </c>
      <c r="AU51" t="str">
        <f t="shared" si="17"/>
        <v/>
      </c>
      <c r="AV51" s="15"/>
      <c r="AW51" s="40"/>
      <c r="AX51" s="15"/>
      <c r="AY51" s="15"/>
    </row>
    <row r="52" spans="1:51" ht="19">
      <c r="A52" s="21" t="str">
        <f t="shared" si="15"/>
        <v/>
      </c>
      <c r="B52" s="15"/>
      <c r="C52" s="15"/>
      <c r="D52" s="15"/>
      <c r="E52" s="17"/>
      <c r="F52" s="39" t="str">
        <f t="shared" ca="1" si="9"/>
        <v/>
      </c>
      <c r="G52" s="17"/>
      <c r="H52" s="15"/>
      <c r="I52" s="15"/>
      <c r="J52" s="17"/>
      <c r="K52" s="15"/>
      <c r="L52" s="15"/>
      <c r="M52" s="15"/>
      <c r="N52" s="15"/>
      <c r="O52" s="21" t="str">
        <f t="shared" si="10"/>
        <v/>
      </c>
      <c r="P52" s="21" t="str">
        <f t="shared" si="11"/>
        <v/>
      </c>
      <c r="Q52" s="15"/>
      <c r="R52" s="40"/>
      <c r="S52" s="40"/>
      <c r="T52" s="40"/>
      <c r="U52" s="40"/>
      <c r="V52" s="40"/>
      <c r="W52" s="41" t="str">
        <f t="shared" si="12"/>
        <v/>
      </c>
      <c r="X52" s="21" t="str">
        <f ca="1">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事業所設定が未入力です</v>
      </c>
      <c r="Y52" s="21" t="str">
        <f t="shared" si="13"/>
        <v/>
      </c>
      <c r="Z52" s="21" t="str">
        <f t="shared" si="14"/>
        <v/>
      </c>
      <c r="AA52" s="42"/>
      <c r="AB52" s="42"/>
      <c r="AC52" s="15"/>
      <c r="AD52" s="42"/>
      <c r="AE52" s="15"/>
      <c r="AF52" s="15"/>
      <c r="AG52" s="42"/>
      <c r="AH52" s="15"/>
      <c r="AI52" s="15"/>
      <c r="AJ52" s="15"/>
      <c r="AK52" s="15"/>
      <c r="AL52" s="15"/>
      <c r="AM52" s="15"/>
      <c r="AN52" s="17"/>
      <c r="AO52" s="15"/>
      <c r="AP52" s="15"/>
      <c r="AQ52" s="15"/>
      <c r="AR52" s="15"/>
      <c r="AT52" t="str">
        <f t="shared" si="16"/>
        <v/>
      </c>
      <c r="AU52" t="str">
        <f t="shared" si="17"/>
        <v/>
      </c>
      <c r="AV52" s="15"/>
      <c r="AW52" s="40"/>
      <c r="AX52" s="15"/>
      <c r="AY52" s="15"/>
    </row>
    <row r="53" spans="1:51" ht="19">
      <c r="A53" s="21" t="str">
        <f t="shared" si="15"/>
        <v/>
      </c>
      <c r="B53" s="15"/>
      <c r="C53" s="15"/>
      <c r="D53" s="15"/>
      <c r="E53" s="17"/>
      <c r="F53" s="39" t="str">
        <f t="shared" ca="1" si="9"/>
        <v/>
      </c>
      <c r="G53" s="17"/>
      <c r="H53" s="15"/>
      <c r="I53" s="15"/>
      <c r="J53" s="17"/>
      <c r="K53" s="15"/>
      <c r="L53" s="15"/>
      <c r="M53" s="15"/>
      <c r="N53" s="15"/>
      <c r="O53" s="21" t="str">
        <f t="shared" si="10"/>
        <v/>
      </c>
      <c r="P53" s="21" t="str">
        <f t="shared" si="11"/>
        <v/>
      </c>
      <c r="Q53" s="15"/>
      <c r="R53" s="40"/>
      <c r="S53" s="40"/>
      <c r="T53" s="40"/>
      <c r="U53" s="40"/>
      <c r="V53" s="40"/>
      <c r="W53" s="41" t="str">
        <f t="shared" si="12"/>
        <v/>
      </c>
      <c r="X53" s="21" t="str">
        <f ca="1">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事業所設定が未入力です</v>
      </c>
      <c r="Y53" s="21" t="str">
        <f t="shared" si="13"/>
        <v/>
      </c>
      <c r="Z53" s="21" t="str">
        <f t="shared" si="14"/>
        <v/>
      </c>
      <c r="AA53" s="42"/>
      <c r="AB53" s="42"/>
      <c r="AC53" s="15"/>
      <c r="AD53" s="42"/>
      <c r="AE53" s="15"/>
      <c r="AF53" s="15"/>
      <c r="AG53" s="42"/>
      <c r="AH53" s="15"/>
      <c r="AI53" s="15"/>
      <c r="AJ53" s="15"/>
      <c r="AK53" s="15"/>
      <c r="AL53" s="15"/>
      <c r="AM53" s="15"/>
      <c r="AN53" s="17"/>
      <c r="AO53" s="15"/>
      <c r="AP53" s="15"/>
      <c r="AQ53" s="15"/>
      <c r="AR53" s="15"/>
      <c r="AT53" t="str">
        <f t="shared" si="16"/>
        <v/>
      </c>
      <c r="AU53" t="str">
        <f t="shared" si="17"/>
        <v/>
      </c>
      <c r="AV53" s="15"/>
      <c r="AW53" s="40"/>
      <c r="AX53" s="15"/>
      <c r="AY53" s="15"/>
    </row>
    <row r="54" spans="1:51" ht="19">
      <c r="A54" s="21" t="str">
        <f t="shared" si="15"/>
        <v/>
      </c>
      <c r="B54" s="15"/>
      <c r="C54" s="15"/>
      <c r="D54" s="15"/>
      <c r="E54" s="17"/>
      <c r="F54" s="39" t="str">
        <f t="shared" ca="1" si="9"/>
        <v/>
      </c>
      <c r="G54" s="17"/>
      <c r="H54" s="15"/>
      <c r="I54" s="15"/>
      <c r="J54" s="17"/>
      <c r="K54" s="15"/>
      <c r="L54" s="15"/>
      <c r="M54" s="15"/>
      <c r="N54" s="15"/>
      <c r="O54" s="21" t="str">
        <f t="shared" si="10"/>
        <v/>
      </c>
      <c r="P54" s="21" t="str">
        <f t="shared" si="11"/>
        <v/>
      </c>
      <c r="Q54" s="15"/>
      <c r="R54" s="40"/>
      <c r="S54" s="40"/>
      <c r="T54" s="40"/>
      <c r="U54" s="40"/>
      <c r="V54" s="40"/>
      <c r="W54" s="41" t="str">
        <f t="shared" si="12"/>
        <v/>
      </c>
      <c r="X54" s="21" t="str">
        <f ca="1">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事業所設定が未入力です</v>
      </c>
      <c r="Y54" s="21" t="str">
        <f t="shared" si="13"/>
        <v/>
      </c>
      <c r="Z54" s="21" t="str">
        <f t="shared" si="14"/>
        <v/>
      </c>
      <c r="AA54" s="42"/>
      <c r="AB54" s="42"/>
      <c r="AC54" s="15"/>
      <c r="AD54" s="42"/>
      <c r="AE54" s="15"/>
      <c r="AF54" s="15"/>
      <c r="AG54" s="42"/>
      <c r="AH54" s="15"/>
      <c r="AI54" s="15"/>
      <c r="AJ54" s="15"/>
      <c r="AK54" s="15"/>
      <c r="AL54" s="15"/>
      <c r="AM54" s="15"/>
      <c r="AN54" s="17"/>
      <c r="AO54" s="15"/>
      <c r="AP54" s="15"/>
      <c r="AQ54" s="15"/>
      <c r="AR54" s="15"/>
      <c r="AT54" t="str">
        <f t="shared" si="16"/>
        <v/>
      </c>
      <c r="AU54" t="str">
        <f t="shared" si="17"/>
        <v/>
      </c>
      <c r="AV54" s="15"/>
      <c r="AW54" s="40"/>
      <c r="AX54" s="15"/>
      <c r="AY54" s="15"/>
    </row>
    <row r="55" spans="1:51" ht="19">
      <c r="A55" s="21" t="str">
        <f t="shared" si="15"/>
        <v/>
      </c>
      <c r="B55" s="15"/>
      <c r="C55" s="15"/>
      <c r="D55" s="15"/>
      <c r="E55" s="17"/>
      <c r="F55" s="39" t="str">
        <f t="shared" ca="1" si="9"/>
        <v/>
      </c>
      <c r="G55" s="17"/>
      <c r="H55" s="15"/>
      <c r="I55" s="15"/>
      <c r="J55" s="17"/>
      <c r="K55" s="15"/>
      <c r="L55" s="15"/>
      <c r="M55" s="15"/>
      <c r="N55" s="15"/>
      <c r="O55" s="21" t="str">
        <f t="shared" si="10"/>
        <v/>
      </c>
      <c r="P55" s="21" t="str">
        <f t="shared" si="11"/>
        <v/>
      </c>
      <c r="Q55" s="15"/>
      <c r="R55" s="40"/>
      <c r="S55" s="40"/>
      <c r="T55" s="40"/>
      <c r="U55" s="40"/>
      <c r="V55" s="40"/>
      <c r="W55" s="41" t="str">
        <f t="shared" si="12"/>
        <v/>
      </c>
      <c r="X55" s="21" t="str">
        <f ca="1">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事業所設定が未入力です</v>
      </c>
      <c r="Y55" s="21" t="str">
        <f t="shared" si="13"/>
        <v/>
      </c>
      <c r="Z55" s="21" t="str">
        <f t="shared" si="14"/>
        <v/>
      </c>
      <c r="AA55" s="42"/>
      <c r="AB55" s="42"/>
      <c r="AC55" s="15"/>
      <c r="AD55" s="42"/>
      <c r="AE55" s="15"/>
      <c r="AF55" s="15"/>
      <c r="AG55" s="42"/>
      <c r="AH55" s="15"/>
      <c r="AI55" s="15"/>
      <c r="AJ55" s="15"/>
      <c r="AK55" s="15"/>
      <c r="AL55" s="15"/>
      <c r="AM55" s="15"/>
      <c r="AN55" s="17"/>
      <c r="AO55" s="15"/>
      <c r="AP55" s="15"/>
      <c r="AQ55" s="15"/>
      <c r="AR55" s="15"/>
      <c r="AT55" t="str">
        <f t="shared" si="16"/>
        <v/>
      </c>
      <c r="AU55" t="str">
        <f t="shared" si="17"/>
        <v/>
      </c>
      <c r="AV55" s="15"/>
      <c r="AW55" s="40"/>
      <c r="AX55" s="15"/>
      <c r="AY55" s="15"/>
    </row>
    <row r="56" spans="1:51" ht="19">
      <c r="A56" s="21" t="str">
        <f t="shared" si="15"/>
        <v/>
      </c>
      <c r="B56" s="15"/>
      <c r="C56" s="15"/>
      <c r="D56" s="15"/>
      <c r="E56" s="17"/>
      <c r="F56" s="39" t="str">
        <f t="shared" ca="1" si="9"/>
        <v/>
      </c>
      <c r="G56" s="17"/>
      <c r="H56" s="15"/>
      <c r="I56" s="15"/>
      <c r="J56" s="17"/>
      <c r="K56" s="15"/>
      <c r="L56" s="15"/>
      <c r="M56" s="15"/>
      <c r="N56" s="15"/>
      <c r="O56" s="21" t="str">
        <f t="shared" si="10"/>
        <v/>
      </c>
      <c r="P56" s="21" t="str">
        <f t="shared" si="11"/>
        <v/>
      </c>
      <c r="Q56" s="15"/>
      <c r="R56" s="40"/>
      <c r="S56" s="40"/>
      <c r="T56" s="40"/>
      <c r="U56" s="40"/>
      <c r="V56" s="40"/>
      <c r="W56" s="41" t="str">
        <f t="shared" si="12"/>
        <v/>
      </c>
      <c r="X56" s="21" t="str">
        <f ca="1">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事業所設定が未入力です</v>
      </c>
      <c r="Y56" s="21" t="str">
        <f t="shared" si="13"/>
        <v/>
      </c>
      <c r="Z56" s="21" t="str">
        <f t="shared" si="14"/>
        <v/>
      </c>
      <c r="AA56" s="42"/>
      <c r="AB56" s="42"/>
      <c r="AC56" s="15"/>
      <c r="AD56" s="42"/>
      <c r="AE56" s="15"/>
      <c r="AF56" s="15"/>
      <c r="AG56" s="42"/>
      <c r="AH56" s="15"/>
      <c r="AI56" s="15"/>
      <c r="AJ56" s="15"/>
      <c r="AK56" s="15"/>
      <c r="AL56" s="15"/>
      <c r="AM56" s="15"/>
      <c r="AN56" s="17"/>
      <c r="AO56" s="15"/>
      <c r="AP56" s="15"/>
      <c r="AQ56" s="15"/>
      <c r="AR56" s="15"/>
      <c r="AT56" t="str">
        <f t="shared" si="16"/>
        <v/>
      </c>
      <c r="AU56" t="str">
        <f t="shared" si="17"/>
        <v/>
      </c>
      <c r="AV56" s="15"/>
      <c r="AW56" s="40"/>
      <c r="AX56" s="15"/>
      <c r="AY56" s="15"/>
    </row>
    <row r="57" spans="1:51" ht="19">
      <c r="A57" s="21" t="str">
        <f t="shared" si="15"/>
        <v/>
      </c>
      <c r="B57" s="15"/>
      <c r="C57" s="15"/>
      <c r="D57" s="15"/>
      <c r="E57" s="17"/>
      <c r="F57" s="39" t="str">
        <f t="shared" ca="1" si="9"/>
        <v/>
      </c>
      <c r="G57" s="17"/>
      <c r="H57" s="15"/>
      <c r="I57" s="15"/>
      <c r="J57" s="17"/>
      <c r="K57" s="15"/>
      <c r="L57" s="15"/>
      <c r="M57" s="15"/>
      <c r="N57" s="15"/>
      <c r="O57" s="21" t="str">
        <f t="shared" si="10"/>
        <v/>
      </c>
      <c r="P57" s="21" t="str">
        <f t="shared" si="11"/>
        <v/>
      </c>
      <c r="Q57" s="15"/>
      <c r="R57" s="40"/>
      <c r="S57" s="40"/>
      <c r="T57" s="40"/>
      <c r="U57" s="40"/>
      <c r="V57" s="40"/>
      <c r="W57" s="41" t="str">
        <f t="shared" si="12"/>
        <v/>
      </c>
      <c r="X57" s="21" t="str">
        <f ca="1">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事業所設定が未入力です</v>
      </c>
      <c r="Y57" s="21" t="str">
        <f t="shared" si="13"/>
        <v/>
      </c>
      <c r="Z57" s="21" t="str">
        <f t="shared" si="14"/>
        <v/>
      </c>
      <c r="AA57" s="42"/>
      <c r="AB57" s="42"/>
      <c r="AC57" s="15"/>
      <c r="AD57" s="42"/>
      <c r="AE57" s="15"/>
      <c r="AF57" s="15"/>
      <c r="AG57" s="42"/>
      <c r="AH57" s="15"/>
      <c r="AI57" s="15"/>
      <c r="AJ57" s="15"/>
      <c r="AK57" s="15"/>
      <c r="AL57" s="15"/>
      <c r="AM57" s="15"/>
      <c r="AN57" s="17"/>
      <c r="AO57" s="15"/>
      <c r="AP57" s="15"/>
      <c r="AQ57" s="15"/>
      <c r="AR57" s="15"/>
      <c r="AT57" t="str">
        <f t="shared" si="16"/>
        <v/>
      </c>
      <c r="AU57" t="str">
        <f t="shared" si="17"/>
        <v/>
      </c>
      <c r="AV57" s="15"/>
      <c r="AW57" s="40"/>
      <c r="AX57" s="15"/>
      <c r="AY57" s="15"/>
    </row>
    <row r="58" spans="1:51" ht="19">
      <c r="A58" s="21" t="str">
        <f t="shared" si="15"/>
        <v/>
      </c>
      <c r="B58" s="15"/>
      <c r="C58" s="15"/>
      <c r="D58" s="15"/>
      <c r="E58" s="17"/>
      <c r="F58" s="39" t="str">
        <f t="shared" ca="1" si="9"/>
        <v/>
      </c>
      <c r="G58" s="17"/>
      <c r="H58" s="15"/>
      <c r="I58" s="15"/>
      <c r="J58" s="17"/>
      <c r="K58" s="15"/>
      <c r="L58" s="15"/>
      <c r="M58" s="15"/>
      <c r="N58" s="15"/>
      <c r="O58" s="21" t="str">
        <f t="shared" si="10"/>
        <v/>
      </c>
      <c r="P58" s="21" t="str">
        <f t="shared" si="11"/>
        <v/>
      </c>
      <c r="Q58" s="15"/>
      <c r="R58" s="40"/>
      <c r="S58" s="40"/>
      <c r="T58" s="40"/>
      <c r="U58" s="40"/>
      <c r="V58" s="40"/>
      <c r="W58" s="41" t="str">
        <f t="shared" si="12"/>
        <v/>
      </c>
      <c r="X58" s="21" t="str">
        <f ca="1">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事業所設定が未入力です</v>
      </c>
      <c r="Y58" s="21" t="str">
        <f t="shared" si="13"/>
        <v/>
      </c>
      <c r="Z58" s="21" t="str">
        <f t="shared" si="14"/>
        <v/>
      </c>
      <c r="AA58" s="42"/>
      <c r="AB58" s="42"/>
      <c r="AC58" s="15"/>
      <c r="AD58" s="42"/>
      <c r="AE58" s="15"/>
      <c r="AF58" s="15"/>
      <c r="AG58" s="42"/>
      <c r="AH58" s="15"/>
      <c r="AI58" s="15"/>
      <c r="AJ58" s="15"/>
      <c r="AK58" s="15"/>
      <c r="AL58" s="15"/>
      <c r="AM58" s="15"/>
      <c r="AN58" s="17"/>
      <c r="AO58" s="15"/>
      <c r="AP58" s="15"/>
      <c r="AQ58" s="15"/>
      <c r="AR58" s="15"/>
      <c r="AT58" t="str">
        <f t="shared" si="16"/>
        <v/>
      </c>
      <c r="AU58" t="str">
        <f t="shared" si="17"/>
        <v/>
      </c>
      <c r="AV58" s="15"/>
      <c r="AW58" s="40"/>
      <c r="AX58" s="15"/>
      <c r="AY58" s="15"/>
    </row>
  </sheetData>
  <mergeCells count="22">
    <mergeCell ref="A1:J1"/>
    <mergeCell ref="L4:M4"/>
    <mergeCell ref="D4:E4"/>
    <mergeCell ref="D3:E3"/>
    <mergeCell ref="G6:P6"/>
    <mergeCell ref="I4:J4"/>
    <mergeCell ref="B4:C4"/>
    <mergeCell ref="B5:L5"/>
    <mergeCell ref="A6:F6"/>
    <mergeCell ref="K1:AX1"/>
    <mergeCell ref="Q6:W6"/>
    <mergeCell ref="AA6:AF6"/>
    <mergeCell ref="AP6:AR6"/>
    <mergeCell ref="AG6:AK6"/>
    <mergeCell ref="AL6:AO6"/>
    <mergeCell ref="AV6:AX6"/>
    <mergeCell ref="I3:J3"/>
    <mergeCell ref="F4:G4"/>
    <mergeCell ref="B3:C3"/>
    <mergeCell ref="F3:G3"/>
    <mergeCell ref="X6:Z6"/>
    <mergeCell ref="L3:M3"/>
  </mergeCells>
  <phoneticPr fontId="22"/>
  <conditionalFormatting sqref="B5">
    <cfRule type="expression" dxfId="47" priority="2" stopIfTrue="1">
      <formula>ISNUMBER(SEARCH("未入力はありません",B5))</formula>
    </cfRule>
    <cfRule type="expression" dxfId="46" priority="3" stopIfTrue="1">
      <formula>ISNUMBER(SEARCH("未入力が",B5))</formula>
    </cfRule>
  </conditionalFormatting>
  <conditionalFormatting sqref="B9:B58">
    <cfRule type="expression" dxfId="45" priority="23" stopIfTrue="1">
      <formula>AND($B9="",OR($E9&lt;&gt;"",$D9&lt;&gt;"",$G9&lt;&gt;"",$AA9&lt;&gt;""))</formula>
    </cfRule>
  </conditionalFormatting>
  <conditionalFormatting sqref="B9:C58">
    <cfRule type="expression" dxfId="44" priority="32" stopIfTrue="1">
      <formula>AND(B9&lt;&gt;"",ISERROR(FIND("　",B9)),ISERROR(FIND(" ",B9)))</formula>
    </cfRule>
  </conditionalFormatting>
  <conditionalFormatting sqref="C9:C58">
    <cfRule type="expression" dxfId="43" priority="31" stopIfTrue="1">
      <formula>AND($B9&lt;&gt;"",C9&lt;&gt;"",LENB(C9)&lt;&gt;LEN(C9)*2)</formula>
    </cfRule>
  </conditionalFormatting>
  <conditionalFormatting sqref="C9:E58">
    <cfRule type="expression" dxfId="42" priority="4" stopIfTrue="1">
      <formula>AND($B9&lt;&gt;"",C9="")</formula>
    </cfRule>
  </conditionalFormatting>
  <conditionalFormatting sqref="E9:E58">
    <cfRule type="expression" dxfId="41" priority="38" stopIfTrue="1">
      <formula>AND(ISNUMBER(E9),E9&gt;80000)</formula>
    </cfRule>
  </conditionalFormatting>
  <conditionalFormatting sqref="G9:G58">
    <cfRule type="expression" dxfId="40" priority="39" stopIfTrue="1">
      <formula>AND(ISNUMBER(G9),G9&gt;80000)</formula>
    </cfRule>
  </conditionalFormatting>
  <conditionalFormatting sqref="G9:I58">
    <cfRule type="expression" dxfId="39" priority="7" stopIfTrue="1">
      <formula>AND($B9&lt;&gt;"",G9="")</formula>
    </cfRule>
  </conditionalFormatting>
  <conditionalFormatting sqref="J9:J58">
    <cfRule type="expression" dxfId="38" priority="40" stopIfTrue="1">
      <formula>AND(ISNUMBER(J9),J9&gt;80000)</formula>
    </cfRule>
  </conditionalFormatting>
  <conditionalFormatting sqref="J8:K58">
    <cfRule type="expression" dxfId="37" priority="24" stopIfTrue="1">
      <formula>$I8="なし"</formula>
    </cfRule>
  </conditionalFormatting>
  <conditionalFormatting sqref="J9:K58">
    <cfRule type="expression" dxfId="36" priority="25" stopIfTrue="1">
      <formula>AND($I9="あり",J9="")</formula>
    </cfRule>
  </conditionalFormatting>
  <conditionalFormatting sqref="L4">
    <cfRule type="dataBar" priority="1">
      <dataBar>
        <cfvo type="num" val="0"/>
        <cfvo type="num" val="1"/>
        <color rgb="FF63C384"/>
      </dataBar>
    </cfRule>
  </conditionalFormatting>
  <conditionalFormatting sqref="L9:N58">
    <cfRule type="expression" dxfId="35" priority="10" stopIfTrue="1">
      <formula>AND($B9&lt;&gt;"",L9="")</formula>
    </cfRule>
  </conditionalFormatting>
  <conditionalFormatting sqref="Q9:Q58">
    <cfRule type="expression" dxfId="34" priority="13" stopIfTrue="1">
      <formula>AND($B9&lt;&gt;"",Q9="")</formula>
    </cfRule>
  </conditionalFormatting>
  <conditionalFormatting sqref="S9:S58">
    <cfRule type="expression" dxfId="33" priority="14" stopIfTrue="1">
      <formula>AND($B9&lt;&gt;"",S9="")</formula>
    </cfRule>
  </conditionalFormatting>
  <conditionalFormatting sqref="X8:X58">
    <cfRule type="expression" dxfId="32" priority="42" stopIfTrue="1">
      <formula>AND(ISNUMBER(SEARCH("加入",X8)),ISERROR(SEARCH("対象外",X8)))</formula>
    </cfRule>
    <cfRule type="expression" dxfId="31" priority="43" stopIfTrue="1">
      <formula>ISNUMBER(SEARCH("対象外",X8))</formula>
    </cfRule>
  </conditionalFormatting>
  <conditionalFormatting sqref="Y8:Y58">
    <cfRule type="expression" dxfId="30" priority="46" stopIfTrue="1">
      <formula>Y8&lt;&gt;""</formula>
    </cfRule>
    <cfRule type="expression" dxfId="29" priority="47" stopIfTrue="1">
      <formula>AND($B8&lt;&gt;"",Y8="")</formula>
    </cfRule>
  </conditionalFormatting>
  <conditionalFormatting sqref="Z8:Z58">
    <cfRule type="expression" dxfId="28" priority="44" stopIfTrue="1">
      <formula>AND(ISNUMBER(SEARCH("加入",Z8)),ISERROR(SEARCH("対象外",Z8)))</formula>
    </cfRule>
    <cfRule type="expression" dxfId="27" priority="45" stopIfTrue="1">
      <formula>ISNUMBER(SEARCH("対象外",Z8))</formula>
    </cfRule>
  </conditionalFormatting>
  <conditionalFormatting sqref="AA9:AA58">
    <cfRule type="expression" dxfId="26" priority="15" stopIfTrue="1">
      <formula>AND($B9&lt;&gt;"",AA9="")</formula>
    </cfRule>
    <cfRule type="expression" dxfId="25" priority="34" stopIfTrue="1">
      <formula>AND(AA9&lt;&gt;"",AA9&lt;&gt;"後日提出",AA9&lt;&gt;"別経路提出",LEN(AA9)&lt;&gt;12)</formula>
    </cfRule>
  </conditionalFormatting>
  <conditionalFormatting sqref="AB9:AB58">
    <cfRule type="expression" dxfId="24" priority="28" stopIfTrue="1">
      <formula>AND($B9&lt;&gt;"",$AA9="",AB9="")</formula>
    </cfRule>
    <cfRule type="expression" dxfId="23" priority="35" stopIfTrue="1">
      <formula>AND(AB9&lt;&gt;"",AB9&lt;&gt;"後日提出",LEN(AB9)&lt;&gt;10)</formula>
    </cfRule>
  </conditionalFormatting>
  <conditionalFormatting sqref="AC9:AC58">
    <cfRule type="expression" dxfId="22" priority="16" stopIfTrue="1">
      <formula>AND($B9&lt;&gt;"",AC9="")</formula>
    </cfRule>
  </conditionalFormatting>
  <conditionalFormatting sqref="AD9:AD58">
    <cfRule type="expression" dxfId="21" priority="29" stopIfTrue="1">
      <formula>AND($AC9="あり",AD9="")</formula>
    </cfRule>
    <cfRule type="expression" dxfId="20" priority="36" stopIfTrue="1">
      <formula>AND(AD9&lt;&gt;"",AD9&lt;&gt;"後日提出",LEN(AD9)&lt;&gt;11)</formula>
    </cfRule>
  </conditionalFormatting>
  <conditionalFormatting sqref="AE9:AE58">
    <cfRule type="expression" dxfId="19" priority="30" stopIfTrue="1">
      <formula>AND($AC9="あり",OR($AD9="",$AD9="後日提出"),AE9="")</formula>
    </cfRule>
  </conditionalFormatting>
  <conditionalFormatting sqref="AG9:AG58">
    <cfRule type="expression" dxfId="18" priority="37" stopIfTrue="1">
      <formula>AND(AG9&lt;&gt;"",LEN(SUBSTITUTE(AG9,"-",""))&lt;&gt;7)</formula>
    </cfRule>
  </conditionalFormatting>
  <conditionalFormatting sqref="AG9:AI58">
    <cfRule type="expression" dxfId="17" priority="17" stopIfTrue="1">
      <formula>AND($B9&lt;&gt;"",AG9="")</formula>
    </cfRule>
  </conditionalFormatting>
  <conditionalFormatting sqref="AL9:AL58">
    <cfRule type="expression" dxfId="16" priority="20" stopIfTrue="1">
      <formula>AND($B9&lt;&gt;"",AL9="")</formula>
    </cfRule>
  </conditionalFormatting>
  <conditionalFormatting sqref="AM9:AO58">
    <cfRule type="expression" dxfId="15" priority="49" stopIfTrue="1">
      <formula>AND($AL9="外国",AM9="")</formula>
    </cfRule>
  </conditionalFormatting>
  <conditionalFormatting sqref="AN9:AN58">
    <cfRule type="expression" dxfId="14" priority="41" stopIfTrue="1">
      <formula>AND(ISNUMBER(AN9),AN9&gt;80000)</formula>
    </cfRule>
  </conditionalFormatting>
  <conditionalFormatting sqref="AP9:AQ58">
    <cfRule type="expression" dxfId="13" priority="21" stopIfTrue="1">
      <formula>AND($B9&lt;&gt;"",AP9="")</formula>
    </cfRule>
  </conditionalFormatting>
  <conditionalFormatting sqref="AV9:AV58">
    <cfRule type="expression" dxfId="12" priority="48" stopIfTrue="1">
      <formula>AND($B9&lt;&gt;"",AV9="")</formula>
    </cfRule>
  </conditionalFormatting>
  <conditionalFormatting sqref="AY9:AY58">
    <cfRule type="expression" dxfId="11" priority="52" stopIfTrue="1">
      <formula>AND($V9&lt;&gt;"",$V9&lt;&gt;0,AY9="")</formula>
    </cfRule>
  </conditionalFormatting>
  <dataValidations count="30">
    <dataValidation type="list" allowBlank="1" showInputMessage="1" showErrorMessage="1" errorTitle="入力エラー" error="一覧から選択してください。" sqref="D8:D58" xr:uid="{00000000-0002-0000-0300-000000000000}">
      <formula1>m_性別</formula1>
    </dataValidation>
    <dataValidation type="whole" errorStyle="warning" allowBlank="1" showInputMessage="1" showErrorMessage="1" errorTitle="入力エラー" error="日付（例 1960/4/1）か、スラッシュ無しの8桁（19600401）で入力してください。" promptTitle="入力のヒント" prompt="西暦の生年月日。例 1990/4/1。スラッシュ無し（19900401）でも入力でき、後で日付に整えます。" sqref="E8:E58" xr:uid="{00000000-0002-0000-0300-000001000000}">
      <formula1>1</formula1>
      <formula2>99999999</formula2>
    </dataValidation>
    <dataValidation type="whole" errorStyle="warning" allowBlank="1" showInputMessage="1" showErrorMessage="1" errorTitle="入力エラー" error="日付（例 1960/4/1）か、スラッシュ無しの8桁（19600401）で入力してください。" promptTitle="入力のヒント" prompt="資格取得日＝入社日。例 2026/7/1。スラッシュ無し（20260701）でも入力できます。" sqref="G8:G58" xr:uid="{00000000-0002-0000-0300-000002000000}">
      <formula1>1</formula1>
      <formula2>99999999</formula2>
    </dataValidation>
    <dataValidation type="list" allowBlank="1" showInputMessage="1" showErrorMessage="1" errorTitle="入力エラー" error="一覧から選択してください。" sqref="H8:H58" xr:uid="{00000000-0002-0000-0300-000003000000}">
      <formula1>m_雇用形態</formula1>
    </dataValidation>
    <dataValidation type="list" allowBlank="1" showInputMessage="1" showErrorMessage="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sqref="I8:I58" xr:uid="{00000000-0002-0000-0300-000004000000}">
      <formula1>m_なしあり</formula1>
    </dataValidation>
    <dataValidation type="whole" errorStyle="warning" allowBlank="1" showInputMessage="1" showErrorMessage="1" errorTitle="入力エラー" error="日付（例 1960/4/1）か、スラッシュ無しの8桁（19600401）で入力してください。" promptTitle="入力のヒント" prompt="雇用期間の定め＝あり のときに記入。例 2027/3/31。スラッシュ無しでも可。" sqref="J8:J58" xr:uid="{00000000-0002-0000-0300-000005000000}">
      <formula1>1</formula1>
      <formula2>99999999</formula2>
    </dataValidation>
    <dataValidation type="list" allowBlank="1" showInputMessage="1" showErrorMessage="1" errorTitle="入力エラー" error="一覧から選択してください。" promptTitle="入力のヒント" prompt="有期契約のとき記入。更新の可能性があると、社保・雇保の加入見込み（右の自動判定）が『あり』になります。" sqref="K8:K58" xr:uid="{00000000-0002-0000-0300-000006000000}">
      <formula1>m_更新見込み</formula1>
    </dataValidation>
    <dataValidation type="decimal" allowBlank="1" showInputMessage="1" showErrorMessage="1" errorTitle="入力エラー" error="0〜80 の数値で入力してください。" promptTitle="入力のヒント" prompt="1週間の所定労働時間（残業を含まない契約上の時間）。0〜80h。" sqref="L8:L58" xr:uid="{00000000-0002-0000-0300-000007000000}">
      <formula1>0</formula1>
      <formula2>80</formula2>
    </dataValidation>
    <dataValidation type="decimal" allowBlank="1" showInputMessage="1" showErrorMessage="1" errorTitle="入力エラー" error="0〜31 の数値で入力してください。" promptTitle="入力のヒント" prompt="1か月の所定労働日数。0〜31日。" sqref="M8:M58" xr:uid="{00000000-0002-0000-0300-000008000000}">
      <formula1>0</formula1>
      <formula2>31</formula2>
    </dataValidation>
    <dataValidation type="list" allowBlank="1" showInputMessage="1" showErrorMessage="1" errorTitle="入力エラー" error="一覧から選択してください。" promptTitle="入力のヒント" prompt="「夜間・定時制・通信制」は学生として扱いません（適用対象）。「昼間部の学生」のみ適用除外になります。" sqref="N8:N58" xr:uid="{00000000-0002-0000-0300-000009000000}">
      <formula1>m_学生区分</formula1>
    </dataValidation>
    <dataValidation type="list" allowBlank="1" showInputMessage="1" showErrorMessage="1" errorTitle="入力エラー" error="一覧から選択してください。" promptTitle="入力のヒント" prompt="賃金の支払形態。月給／日給／時給／年俸など。雇用保険 資格取得届の『賃金（支払の態様）』に対応します。" sqref="Q8:Q58" xr:uid="{00000000-0002-0000-0300-00000A000000}">
      <formula1>m_賃金形態</formula1>
    </dataValidation>
    <dataValidation type="whole" allowBlank="1" showInputMessage="1" showErrorMessage="1" errorTitle="入力エラー" error="0以上の整数（円）で入力してください。" promptTitle="入力のヒント" prompt="日給・時給の方のみ、その単価（円）をご記入ください。月給・年俸の方は空欄で可。" sqref="R8:R58" xr:uid="{00000000-0002-0000-0300-00000B000000}">
      <formula1>0</formula1>
      <formula2>100000000</formula2>
    </dataValidation>
    <dataValidation type="whole" allowBlank="1" showInputMessage="1" showErrorMessage="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sqref="S8:S58" xr:uid="{00000000-0002-0000-0300-00000C000000}">
      <formula1>0</formula1>
      <formula2>100000000</formula2>
    </dataValidation>
    <dataValidation type="whole" allowBlank="1" showInputMessage="1" showErrorMessage="1" errorTitle="入力エラー" error="0以上の整数（円）で入力してください。" sqref="T8:U58" xr:uid="{00000000-0002-0000-0300-00000D000000}">
      <formula1>0</formula1>
      <formula2>100000000</formula2>
    </dataValidation>
    <dataValidation type="whole" allowBlank="1" showInputMessage="1" showErrorMessage="1" errorTitle="入力エラー" error="0以上の整数（円）で入力してください。" promptTitle="入力のヒント" prompt="社宅・寮・食事など現物で支給するものの月額相当額（円）。無ければ空欄。社会保険の報酬月額に算入します。" sqref="V8:V58" xr:uid="{00000000-0002-0000-0300-00000F000000}">
      <formula1>0</formula1>
      <formula2>100000000</formula2>
    </dataValidation>
    <dataValidation type="list" allowBlank="1" showInputMessage="1" promptTitle="入力のヒント" prompt="12桁の数字。ハイフン無し。会社所定の安全な経路で別提出する場合は、ドロップダウンから『別経路提出』を選んでください。入社時点で未回収なら『後日提出』を選択します。" sqref="AA8:AA58" xr:uid="{00000000-0002-0000-0300-000010000000}">
      <formula1>m_番号提出状態</formula1>
    </dataValidation>
    <dataValidation type="list" allowBlank="1" showInputMessage="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sqref="AB8:AB58" xr:uid="{00000000-0002-0000-0300-000011000000}">
      <formula1>m_後日提出</formula1>
    </dataValidation>
    <dataValidation type="list" allowBlank="1" showInputMessage="1" showErrorMessage="1" errorTitle="入力エラー" error="一覧から選択してください。" promptTitle="入力のヒント" prompt="前職で雇用保険に加入していたか。『あり』のときは右の被保険者番号もご記入ください（不明なら『後日提出』＋前職情報）。" sqref="AC8:AC58" xr:uid="{00000000-0002-0000-0300-000012000000}">
      <formula1>m_前職雇保</formula1>
    </dataValidation>
    <dataValidation type="list" allowBlank="1" showInputMessage="1" promptTitle="入力のヒント" prompt="雇用保険被保険者番号11桁（前職の被保険者証・離職票に記載）。前職が無い・初めて就職する方は空欄で構いません（新規取得します）。前職はあるが番号が不明なときは『後日提出』を選択。" sqref="AD8:AD58" xr:uid="{00000000-0002-0000-0300-000013000000}">
      <formula1>m_後日提出</formula1>
    </dataValidation>
    <dataValidation type="whole" errorStyle="warning" allowBlank="1" showInputMessage="1" showErrorMessage="1" errorTitle="入力エラー" error="日付（例 1960/4/1）か、スラッシュ無しの8桁（19600401）で入力してください。" promptTitle="入力のヒント" prompt="前職の退職年月日（番号照会の手がかり）。分かる範囲で。1960/4/1 でも 19600401 でも入力できます。" sqref="AF8:AF58" xr:uid="{00000000-0002-0000-0300-000014000000}">
      <formula1>1</formula1>
      <formula2>99999999</formula2>
    </dataValidation>
    <dataValidation type="textLength" errorStyle="warning" allowBlank="1" showInputMessage="1" showErrorMessage="1" errorTitle="入力エラー" error="桁数を確認してください。" promptTitle="入力のヒント" prompt="ハイフン有無どちらでも可（例 100-0001 / 1000001）。" sqref="AG8:AG58" xr:uid="{00000000-0002-0000-0300-000015000000}">
      <formula1>7</formula1>
      <formula2>8</formula2>
    </dataValidation>
    <dataValidation type="list" allowBlank="1" showInputMessage="1" showErrorMessage="1" errorTitle="入力エラー" error="一覧から選択してください。" sqref="AH8:AH58" xr:uid="{00000000-0002-0000-0300-000016000000}">
      <formula1>m_都道府県</formula1>
    </dataValidation>
    <dataValidation type="list" allowBlank="1" showInputMessage="1" showErrorMessage="1" errorTitle="入力エラー" error="一覧から選択してください。" promptTitle="入力のヒント" prompt="「外国」を選んだ方は、在留資格・在留期間満了日・ローマ字氏名もご記入ください。" sqref="AL8:AL58" xr:uid="{00000000-0002-0000-0300-000017000000}">
      <formula1>m_国籍</formula1>
    </dataValidation>
    <dataValidation type="whole" errorStyle="warning" allowBlank="1" showInputMessage="1" showErrorMessage="1" errorTitle="入力エラー" error="日付（例 1960/4/1）か、スラッシュ無しの8桁（19600401）で入力してください。" promptTitle="入力のヒント" prompt="西暦の日付。1960/4/1 でも 19600401 でも入力できます（無しは後で日付に整えます）。" sqref="AN8:AN58" xr:uid="{00000000-0002-0000-0300-000018000000}">
      <formula1>1</formula1>
      <formula2>99999999</formula2>
    </dataValidation>
    <dataValidation type="list" allowBlank="1" showInputMessage="1" showErrorMessage="1" errorTitle="入力エラー" error="一覧から選択してください。" promptTitle="入力のヒント" prompt="マイナ保険証の利用登録が未済の方は「要」。登録済みなら「否」。不明な場合は「不明」。" sqref="AP8:AP58" xr:uid="{00000000-0002-0000-0300-000019000000}">
      <formula1>m_資格確認書</formula1>
    </dataValidation>
    <dataValidation type="list" allowBlank="1" showInputMessage="1" showErrorMessage="1" errorTitle="入力エラー" error="一覧から選択してください。" promptTitle="入力のヒント" prompt="「あり」を選んだ方は、シート②被扶養者情報も併せてご記入ください。" sqref="AQ8:AQ58" xr:uid="{00000000-0002-0000-0300-00001A000000}">
      <formula1>m_ありなし</formula1>
    </dataValidation>
    <dataValidation type="list" allowBlank="1" showInputMessage="1" showErrorMessage="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sqref="AV8:AV58" xr:uid="{00000000-0002-0000-0300-00001B000000}">
      <formula1>m_職種</formula1>
    </dataValidation>
    <dataValidation type="whole" errorStyle="warning" allowBlank="1" showInputMessage="1" showErrorMessage="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sqref="AW8:AW58" xr:uid="{00000000-0002-0000-0300-00001C000000}">
      <formula1>0</formula1>
      <formula2>100000000</formula2>
    </dataValidation>
    <dataValidation type="list" allowBlank="1" showInputMessage="1" showErrorMessage="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sqref="AX8:AX58" xr:uid="{00000000-0002-0000-0300-00001D000000}">
      <formula1>"いいえ,はい,分からない"</formula1>
    </dataValidation>
    <dataValidation type="list" allowBlank="1" showInputMessage="1" promptTitle="現物給与の種類" prompt="V列に金額を入れたときはご記入ください。社宅・食事・定期券など。複数あればその他を選び、備考に内訳を。" sqref="AY9:AY58" xr:uid="{00000000-0002-0000-0300-00001E000000}">
      <formula1>m_現物給与種類</formula1>
    </dataValidation>
  </dataValidations>
  <pageMargins left="0.75" right="0.75" top="1" bottom="1" header="0.5" footer="0.5"/>
  <pageSetup paperSize="9" fitToHeight="0"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pageSetUpPr fitToPage="1"/>
  </sheetPr>
  <dimension ref="A1:P67"/>
  <sheetViews>
    <sheetView showGridLines="0" workbookViewId="0">
      <pane xSplit="2" ySplit="7" topLeftCell="C8" activePane="bottomRight" state="frozen"/>
      <selection sqref="A1:P1"/>
      <selection pane="topRight" sqref="A1:P1"/>
      <selection pane="bottomLeft" sqref="A1:P1"/>
      <selection pane="bottomRight" sqref="A1:P1"/>
    </sheetView>
  </sheetViews>
  <sheetFormatPr baseColWidth="10" defaultColWidth="8.83203125" defaultRowHeight="14"/>
  <cols>
    <col min="1" max="1" width="15" customWidth="1"/>
    <col min="2" max="3" width="18" customWidth="1"/>
    <col min="4" max="4" width="12" customWidth="1"/>
    <col min="5" max="5" width="15" customWidth="1"/>
    <col min="6" max="6" width="9" customWidth="1"/>
    <col min="7" max="7" width="17" customWidth="1"/>
    <col min="8" max="8" width="12" customWidth="1"/>
    <col min="9" max="9" width="15" customWidth="1"/>
    <col min="10" max="11" width="16" customWidth="1"/>
    <col min="12" max="12" width="15" customWidth="1"/>
    <col min="13" max="13" width="24" customWidth="1"/>
    <col min="14" max="15" width="13" hidden="1" customWidth="1"/>
    <col min="16" max="16" width="30" customWidth="1"/>
  </cols>
  <sheetData>
    <row r="1" spans="1:16" ht="24" customHeight="1">
      <c r="A1" s="52" t="s">
        <v>225</v>
      </c>
      <c r="B1" s="47"/>
      <c r="C1" s="47"/>
      <c r="D1" s="47"/>
      <c r="E1" s="47"/>
      <c r="F1" s="47"/>
      <c r="G1" s="47"/>
      <c r="H1" s="47"/>
      <c r="I1" s="47"/>
      <c r="J1" s="47"/>
      <c r="K1" s="47"/>
      <c r="L1" s="47"/>
      <c r="M1" s="47"/>
      <c r="N1" s="47"/>
      <c r="O1" s="47"/>
      <c r="P1" s="47"/>
    </row>
    <row r="2" spans="1:16">
      <c r="A2" s="33"/>
      <c r="B2" s="33"/>
      <c r="C2" s="33"/>
      <c r="D2" s="33"/>
      <c r="E2" s="33"/>
      <c r="F2" s="33"/>
      <c r="G2" s="33"/>
      <c r="H2" s="33"/>
      <c r="I2" s="33"/>
    </row>
    <row r="3" spans="1:16" ht="19" customHeight="1">
      <c r="A3" s="58" t="s">
        <v>142</v>
      </c>
      <c r="B3" s="47"/>
      <c r="C3" s="58" t="s">
        <v>143</v>
      </c>
      <c r="D3" s="47"/>
      <c r="E3" s="58" t="s">
        <v>144</v>
      </c>
      <c r="F3" s="47"/>
      <c r="G3" s="58" t="s">
        <v>146</v>
      </c>
      <c r="H3" s="47"/>
      <c r="I3" s="33"/>
    </row>
    <row r="4" spans="1:16">
      <c r="A4" s="71">
        <f>COUNTA(B8:B67)</f>
        <v>0</v>
      </c>
      <c r="B4" s="57"/>
      <c r="C4" s="71">
        <f>COUNTIF(O8:O67,0)</f>
        <v>0</v>
      </c>
      <c r="D4" s="57"/>
      <c r="E4" s="73">
        <f>SUM(O8:O67)</f>
        <v>0</v>
      </c>
      <c r="F4" s="57"/>
      <c r="G4" s="72">
        <f>IF(A4=0,0,C4/A4)</f>
        <v>0</v>
      </c>
      <c r="H4" s="57"/>
      <c r="I4" s="33"/>
    </row>
    <row r="5" spans="1:16" ht="20" customHeight="1">
      <c r="A5" s="66" t="str">
        <f>IF(A4=0,"（被扶養者がいる場合のみ入力してください）",IF(E4=0,"✓ 必須の未入力はありません","⚠ 必須の未入力が "&amp;E4&amp;" 件あります：本体の赤いセルをご確認ください"))</f>
        <v>（被扶養者がいる場合のみ入力してください）</v>
      </c>
      <c r="B5" s="47"/>
      <c r="C5" s="47"/>
      <c r="D5" s="47"/>
      <c r="E5" s="47"/>
      <c r="F5" s="47"/>
      <c r="G5" s="47"/>
    </row>
    <row r="6" spans="1:16" ht="49" customHeight="1">
      <c r="A6" s="5" t="s">
        <v>226</v>
      </c>
      <c r="B6" s="5" t="s">
        <v>157</v>
      </c>
      <c r="C6" s="5" t="s">
        <v>227</v>
      </c>
      <c r="D6" s="5" t="s">
        <v>228</v>
      </c>
      <c r="E6" s="5" t="s">
        <v>160</v>
      </c>
      <c r="F6" s="5" t="s">
        <v>159</v>
      </c>
      <c r="G6" s="5" t="s">
        <v>182</v>
      </c>
      <c r="H6" s="5" t="s">
        <v>229</v>
      </c>
      <c r="I6" s="5" t="s">
        <v>230</v>
      </c>
      <c r="J6" s="6" t="s">
        <v>231</v>
      </c>
      <c r="K6" s="5" t="s">
        <v>232</v>
      </c>
      <c r="L6" s="6" t="s">
        <v>233</v>
      </c>
      <c r="M6" s="6" t="s">
        <v>199</v>
      </c>
      <c r="P6" s="6" t="s">
        <v>234</v>
      </c>
    </row>
    <row r="7" spans="1:16" ht="37" customHeight="1">
      <c r="A7" s="35">
        <v>1</v>
      </c>
      <c r="B7" s="35" t="s">
        <v>235</v>
      </c>
      <c r="C7" s="35" t="s">
        <v>236</v>
      </c>
      <c r="D7" s="35" t="s">
        <v>237</v>
      </c>
      <c r="E7" s="36">
        <v>33826</v>
      </c>
      <c r="F7" s="35" t="s">
        <v>238</v>
      </c>
      <c r="G7" s="38" t="s">
        <v>239</v>
      </c>
      <c r="H7" s="35" t="s">
        <v>240</v>
      </c>
      <c r="I7" s="37">
        <v>1030000</v>
      </c>
      <c r="J7" s="35" t="s">
        <v>241</v>
      </c>
      <c r="K7" s="36">
        <v>46204</v>
      </c>
      <c r="L7" s="35" t="s">
        <v>242</v>
      </c>
      <c r="M7" s="35" t="s">
        <v>243</v>
      </c>
      <c r="P7" s="35" t="s">
        <v>244</v>
      </c>
    </row>
    <row r="8" spans="1:16" ht="18">
      <c r="A8" s="15"/>
      <c r="B8" s="15"/>
      <c r="C8" s="15"/>
      <c r="D8" s="15"/>
      <c r="E8" s="17"/>
      <c r="F8" s="15"/>
      <c r="G8" s="42"/>
      <c r="H8" s="15"/>
      <c r="I8" s="40"/>
      <c r="J8" s="15"/>
      <c r="K8" s="17"/>
      <c r="L8" s="15"/>
      <c r="M8" s="15"/>
      <c r="O8" t="str">
        <f t="shared" ref="O8:O39" si="0">IF($B8="","",IF($A8="",1,0)+IF($B8="",1,0)+IF($C8="",1,0)+IF($D8="",1,0)+IF($E8="",1,0)+IF($F8="",1,0)+IF($G8="",1,0)+IF($H8="",1,0)+IF($I8="",1,0)+IF($K8="",1,0)+IF(AND($H8="別居",$P8=""),1,0))</f>
        <v/>
      </c>
      <c r="P8" s="15"/>
    </row>
    <row r="9" spans="1:16" ht="18">
      <c r="A9" s="15"/>
      <c r="B9" s="15"/>
      <c r="C9" s="15"/>
      <c r="D9" s="15"/>
      <c r="E9" s="17"/>
      <c r="F9" s="15"/>
      <c r="G9" s="42"/>
      <c r="H9" s="15"/>
      <c r="I9" s="40"/>
      <c r="J9" s="15"/>
      <c r="K9" s="17"/>
      <c r="L9" s="15"/>
      <c r="M9" s="15"/>
      <c r="O9" t="str">
        <f t="shared" si="0"/>
        <v/>
      </c>
      <c r="P9" s="15"/>
    </row>
    <row r="10" spans="1:16" ht="18">
      <c r="A10" s="15"/>
      <c r="B10" s="15"/>
      <c r="C10" s="15"/>
      <c r="D10" s="15"/>
      <c r="E10" s="17"/>
      <c r="F10" s="15"/>
      <c r="G10" s="42"/>
      <c r="H10" s="15"/>
      <c r="I10" s="40"/>
      <c r="J10" s="15"/>
      <c r="K10" s="17"/>
      <c r="L10" s="15"/>
      <c r="M10" s="15"/>
      <c r="O10" t="str">
        <f t="shared" si="0"/>
        <v/>
      </c>
      <c r="P10" s="15"/>
    </row>
    <row r="11" spans="1:16" ht="18">
      <c r="A11" s="15"/>
      <c r="B11" s="15"/>
      <c r="C11" s="15"/>
      <c r="D11" s="15"/>
      <c r="E11" s="17"/>
      <c r="F11" s="15"/>
      <c r="G11" s="42"/>
      <c r="H11" s="15"/>
      <c r="I11" s="40"/>
      <c r="J11" s="15"/>
      <c r="K11" s="17"/>
      <c r="L11" s="15"/>
      <c r="M11" s="15"/>
      <c r="O11" t="str">
        <f t="shared" si="0"/>
        <v/>
      </c>
      <c r="P11" s="15"/>
    </row>
    <row r="12" spans="1:16" ht="18">
      <c r="A12" s="15"/>
      <c r="B12" s="15"/>
      <c r="C12" s="15"/>
      <c r="D12" s="15"/>
      <c r="E12" s="17"/>
      <c r="F12" s="15"/>
      <c r="G12" s="42"/>
      <c r="H12" s="15"/>
      <c r="I12" s="40"/>
      <c r="J12" s="15"/>
      <c r="K12" s="17"/>
      <c r="L12" s="15"/>
      <c r="M12" s="15"/>
      <c r="O12" t="str">
        <f t="shared" si="0"/>
        <v/>
      </c>
      <c r="P12" s="15"/>
    </row>
    <row r="13" spans="1:16" ht="18">
      <c r="A13" s="15"/>
      <c r="B13" s="15"/>
      <c r="C13" s="15"/>
      <c r="D13" s="15"/>
      <c r="E13" s="17"/>
      <c r="F13" s="15"/>
      <c r="G13" s="42"/>
      <c r="H13" s="15"/>
      <c r="I13" s="40"/>
      <c r="J13" s="15"/>
      <c r="K13" s="17"/>
      <c r="L13" s="15"/>
      <c r="M13" s="15"/>
      <c r="O13" t="str">
        <f t="shared" si="0"/>
        <v/>
      </c>
      <c r="P13" s="15"/>
    </row>
    <row r="14" spans="1:16" ht="18">
      <c r="A14" s="15"/>
      <c r="B14" s="15"/>
      <c r="C14" s="15"/>
      <c r="D14" s="15"/>
      <c r="E14" s="17"/>
      <c r="F14" s="15"/>
      <c r="G14" s="42"/>
      <c r="H14" s="15"/>
      <c r="I14" s="40"/>
      <c r="J14" s="15"/>
      <c r="K14" s="17"/>
      <c r="L14" s="15"/>
      <c r="M14" s="15"/>
      <c r="O14" t="str">
        <f t="shared" si="0"/>
        <v/>
      </c>
      <c r="P14" s="15"/>
    </row>
    <row r="15" spans="1:16" ht="18">
      <c r="A15" s="15"/>
      <c r="B15" s="15"/>
      <c r="C15" s="15"/>
      <c r="D15" s="15"/>
      <c r="E15" s="17"/>
      <c r="F15" s="15"/>
      <c r="G15" s="42"/>
      <c r="H15" s="15"/>
      <c r="I15" s="40"/>
      <c r="J15" s="15"/>
      <c r="K15" s="17"/>
      <c r="L15" s="15"/>
      <c r="M15" s="15"/>
      <c r="O15" t="str">
        <f t="shared" si="0"/>
        <v/>
      </c>
      <c r="P15" s="15"/>
    </row>
    <row r="16" spans="1:16" ht="18">
      <c r="A16" s="15"/>
      <c r="B16" s="15"/>
      <c r="C16" s="15"/>
      <c r="D16" s="15"/>
      <c r="E16" s="17"/>
      <c r="F16" s="15"/>
      <c r="G16" s="42"/>
      <c r="H16" s="15"/>
      <c r="I16" s="40"/>
      <c r="J16" s="15"/>
      <c r="K16" s="17"/>
      <c r="L16" s="15"/>
      <c r="M16" s="15"/>
      <c r="O16" t="str">
        <f t="shared" si="0"/>
        <v/>
      </c>
      <c r="P16" s="15"/>
    </row>
    <row r="17" spans="1:16" ht="18">
      <c r="A17" s="15"/>
      <c r="B17" s="15"/>
      <c r="C17" s="15"/>
      <c r="D17" s="15"/>
      <c r="E17" s="17"/>
      <c r="F17" s="15"/>
      <c r="G17" s="42"/>
      <c r="H17" s="15"/>
      <c r="I17" s="40"/>
      <c r="J17" s="15"/>
      <c r="K17" s="17"/>
      <c r="L17" s="15"/>
      <c r="M17" s="15"/>
      <c r="O17" t="str">
        <f t="shared" si="0"/>
        <v/>
      </c>
      <c r="P17" s="15"/>
    </row>
    <row r="18" spans="1:16" ht="18">
      <c r="A18" s="15"/>
      <c r="B18" s="15"/>
      <c r="C18" s="15"/>
      <c r="D18" s="15"/>
      <c r="E18" s="17"/>
      <c r="F18" s="15"/>
      <c r="G18" s="42"/>
      <c r="H18" s="15"/>
      <c r="I18" s="40"/>
      <c r="J18" s="15"/>
      <c r="K18" s="17"/>
      <c r="L18" s="15"/>
      <c r="M18" s="15"/>
      <c r="O18" t="str">
        <f t="shared" si="0"/>
        <v/>
      </c>
      <c r="P18" s="15"/>
    </row>
    <row r="19" spans="1:16" ht="18">
      <c r="A19" s="15"/>
      <c r="B19" s="15"/>
      <c r="C19" s="15"/>
      <c r="D19" s="15"/>
      <c r="E19" s="17"/>
      <c r="F19" s="15"/>
      <c r="G19" s="42"/>
      <c r="H19" s="15"/>
      <c r="I19" s="40"/>
      <c r="J19" s="15"/>
      <c r="K19" s="17"/>
      <c r="L19" s="15"/>
      <c r="M19" s="15"/>
      <c r="O19" t="str">
        <f t="shared" si="0"/>
        <v/>
      </c>
      <c r="P19" s="15"/>
    </row>
    <row r="20" spans="1:16" ht="18">
      <c r="A20" s="15"/>
      <c r="B20" s="15"/>
      <c r="C20" s="15"/>
      <c r="D20" s="15"/>
      <c r="E20" s="17"/>
      <c r="F20" s="15"/>
      <c r="G20" s="42"/>
      <c r="H20" s="15"/>
      <c r="I20" s="40"/>
      <c r="J20" s="15"/>
      <c r="K20" s="17"/>
      <c r="L20" s="15"/>
      <c r="M20" s="15"/>
      <c r="O20" t="str">
        <f t="shared" si="0"/>
        <v/>
      </c>
      <c r="P20" s="15"/>
    </row>
    <row r="21" spans="1:16" ht="18">
      <c r="A21" s="15"/>
      <c r="B21" s="15"/>
      <c r="C21" s="15"/>
      <c r="D21" s="15"/>
      <c r="E21" s="17"/>
      <c r="F21" s="15"/>
      <c r="G21" s="42"/>
      <c r="H21" s="15"/>
      <c r="I21" s="40"/>
      <c r="J21" s="15"/>
      <c r="K21" s="17"/>
      <c r="L21" s="15"/>
      <c r="M21" s="15"/>
      <c r="O21" t="str">
        <f t="shared" si="0"/>
        <v/>
      </c>
      <c r="P21" s="15"/>
    </row>
    <row r="22" spans="1:16" ht="18">
      <c r="A22" s="15"/>
      <c r="B22" s="15"/>
      <c r="C22" s="15"/>
      <c r="D22" s="15"/>
      <c r="E22" s="17"/>
      <c r="F22" s="15"/>
      <c r="G22" s="42"/>
      <c r="H22" s="15"/>
      <c r="I22" s="40"/>
      <c r="J22" s="15"/>
      <c r="K22" s="17"/>
      <c r="L22" s="15"/>
      <c r="M22" s="15"/>
      <c r="O22" t="str">
        <f t="shared" si="0"/>
        <v/>
      </c>
      <c r="P22" s="15"/>
    </row>
    <row r="23" spans="1:16" ht="18">
      <c r="A23" s="15"/>
      <c r="B23" s="15"/>
      <c r="C23" s="15"/>
      <c r="D23" s="15"/>
      <c r="E23" s="17"/>
      <c r="F23" s="15"/>
      <c r="G23" s="42"/>
      <c r="H23" s="15"/>
      <c r="I23" s="40"/>
      <c r="J23" s="15"/>
      <c r="K23" s="17"/>
      <c r="L23" s="15"/>
      <c r="M23" s="15"/>
      <c r="O23" t="str">
        <f t="shared" si="0"/>
        <v/>
      </c>
      <c r="P23" s="15"/>
    </row>
    <row r="24" spans="1:16" ht="18">
      <c r="A24" s="15"/>
      <c r="B24" s="15"/>
      <c r="C24" s="15"/>
      <c r="D24" s="15"/>
      <c r="E24" s="17"/>
      <c r="F24" s="15"/>
      <c r="G24" s="42"/>
      <c r="H24" s="15"/>
      <c r="I24" s="40"/>
      <c r="J24" s="15"/>
      <c r="K24" s="17"/>
      <c r="L24" s="15"/>
      <c r="M24" s="15"/>
      <c r="O24" t="str">
        <f t="shared" si="0"/>
        <v/>
      </c>
      <c r="P24" s="15"/>
    </row>
    <row r="25" spans="1:16" ht="18">
      <c r="A25" s="15"/>
      <c r="B25" s="15"/>
      <c r="C25" s="15"/>
      <c r="D25" s="15"/>
      <c r="E25" s="17"/>
      <c r="F25" s="15"/>
      <c r="G25" s="42"/>
      <c r="H25" s="15"/>
      <c r="I25" s="40"/>
      <c r="J25" s="15"/>
      <c r="K25" s="17"/>
      <c r="L25" s="15"/>
      <c r="M25" s="15"/>
      <c r="O25" t="str">
        <f t="shared" si="0"/>
        <v/>
      </c>
      <c r="P25" s="15"/>
    </row>
    <row r="26" spans="1:16" ht="18">
      <c r="A26" s="15"/>
      <c r="B26" s="15"/>
      <c r="C26" s="15"/>
      <c r="D26" s="15"/>
      <c r="E26" s="17"/>
      <c r="F26" s="15"/>
      <c r="G26" s="42"/>
      <c r="H26" s="15"/>
      <c r="I26" s="40"/>
      <c r="J26" s="15"/>
      <c r="K26" s="17"/>
      <c r="L26" s="15"/>
      <c r="M26" s="15"/>
      <c r="O26" t="str">
        <f t="shared" si="0"/>
        <v/>
      </c>
      <c r="P26" s="15"/>
    </row>
    <row r="27" spans="1:16" ht="18">
      <c r="A27" s="15"/>
      <c r="B27" s="15"/>
      <c r="C27" s="15"/>
      <c r="D27" s="15"/>
      <c r="E27" s="17"/>
      <c r="F27" s="15"/>
      <c r="G27" s="42"/>
      <c r="H27" s="15"/>
      <c r="I27" s="40"/>
      <c r="J27" s="15"/>
      <c r="K27" s="17"/>
      <c r="L27" s="15"/>
      <c r="M27" s="15"/>
      <c r="O27" t="str">
        <f t="shared" si="0"/>
        <v/>
      </c>
      <c r="P27" s="15"/>
    </row>
    <row r="28" spans="1:16" ht="18">
      <c r="A28" s="15"/>
      <c r="B28" s="15"/>
      <c r="C28" s="15"/>
      <c r="D28" s="15"/>
      <c r="E28" s="17"/>
      <c r="F28" s="15"/>
      <c r="G28" s="42"/>
      <c r="H28" s="15"/>
      <c r="I28" s="40"/>
      <c r="J28" s="15"/>
      <c r="K28" s="17"/>
      <c r="L28" s="15"/>
      <c r="M28" s="15"/>
      <c r="O28" t="str">
        <f t="shared" si="0"/>
        <v/>
      </c>
      <c r="P28" s="15"/>
    </row>
    <row r="29" spans="1:16" ht="18">
      <c r="A29" s="15"/>
      <c r="B29" s="15"/>
      <c r="C29" s="15"/>
      <c r="D29" s="15"/>
      <c r="E29" s="17"/>
      <c r="F29" s="15"/>
      <c r="G29" s="42"/>
      <c r="H29" s="15"/>
      <c r="I29" s="40"/>
      <c r="J29" s="15"/>
      <c r="K29" s="17"/>
      <c r="L29" s="15"/>
      <c r="M29" s="15"/>
      <c r="O29" t="str">
        <f t="shared" si="0"/>
        <v/>
      </c>
      <c r="P29" s="15"/>
    </row>
    <row r="30" spans="1:16" ht="18">
      <c r="A30" s="15"/>
      <c r="B30" s="15"/>
      <c r="C30" s="15"/>
      <c r="D30" s="15"/>
      <c r="E30" s="17"/>
      <c r="F30" s="15"/>
      <c r="G30" s="42"/>
      <c r="H30" s="15"/>
      <c r="I30" s="40"/>
      <c r="J30" s="15"/>
      <c r="K30" s="17"/>
      <c r="L30" s="15"/>
      <c r="M30" s="15"/>
      <c r="O30" t="str">
        <f t="shared" si="0"/>
        <v/>
      </c>
      <c r="P30" s="15"/>
    </row>
    <row r="31" spans="1:16" ht="18">
      <c r="A31" s="15"/>
      <c r="B31" s="15"/>
      <c r="C31" s="15"/>
      <c r="D31" s="15"/>
      <c r="E31" s="17"/>
      <c r="F31" s="15"/>
      <c r="G31" s="42"/>
      <c r="H31" s="15"/>
      <c r="I31" s="40"/>
      <c r="J31" s="15"/>
      <c r="K31" s="17"/>
      <c r="L31" s="15"/>
      <c r="M31" s="15"/>
      <c r="O31" t="str">
        <f t="shared" si="0"/>
        <v/>
      </c>
      <c r="P31" s="15"/>
    </row>
    <row r="32" spans="1:16" ht="18">
      <c r="A32" s="15"/>
      <c r="B32" s="15"/>
      <c r="C32" s="15"/>
      <c r="D32" s="15"/>
      <c r="E32" s="17"/>
      <c r="F32" s="15"/>
      <c r="G32" s="42"/>
      <c r="H32" s="15"/>
      <c r="I32" s="40"/>
      <c r="J32" s="15"/>
      <c r="K32" s="17"/>
      <c r="L32" s="15"/>
      <c r="M32" s="15"/>
      <c r="O32" t="str">
        <f t="shared" si="0"/>
        <v/>
      </c>
      <c r="P32" s="15"/>
    </row>
    <row r="33" spans="1:16" ht="18">
      <c r="A33" s="15"/>
      <c r="B33" s="15"/>
      <c r="C33" s="15"/>
      <c r="D33" s="15"/>
      <c r="E33" s="17"/>
      <c r="F33" s="15"/>
      <c r="G33" s="42"/>
      <c r="H33" s="15"/>
      <c r="I33" s="40"/>
      <c r="J33" s="15"/>
      <c r="K33" s="17"/>
      <c r="L33" s="15"/>
      <c r="M33" s="15"/>
      <c r="O33" t="str">
        <f t="shared" si="0"/>
        <v/>
      </c>
      <c r="P33" s="15"/>
    </row>
    <row r="34" spans="1:16" ht="18">
      <c r="A34" s="15"/>
      <c r="B34" s="15"/>
      <c r="C34" s="15"/>
      <c r="D34" s="15"/>
      <c r="E34" s="17"/>
      <c r="F34" s="15"/>
      <c r="G34" s="42"/>
      <c r="H34" s="15"/>
      <c r="I34" s="40"/>
      <c r="J34" s="15"/>
      <c r="K34" s="17"/>
      <c r="L34" s="15"/>
      <c r="M34" s="15"/>
      <c r="O34" t="str">
        <f t="shared" si="0"/>
        <v/>
      </c>
      <c r="P34" s="15"/>
    </row>
    <row r="35" spans="1:16" ht="18">
      <c r="A35" s="15"/>
      <c r="B35" s="15"/>
      <c r="C35" s="15"/>
      <c r="D35" s="15"/>
      <c r="E35" s="17"/>
      <c r="F35" s="15"/>
      <c r="G35" s="42"/>
      <c r="H35" s="15"/>
      <c r="I35" s="40"/>
      <c r="J35" s="15"/>
      <c r="K35" s="17"/>
      <c r="L35" s="15"/>
      <c r="M35" s="15"/>
      <c r="O35" t="str">
        <f t="shared" si="0"/>
        <v/>
      </c>
      <c r="P35" s="15"/>
    </row>
    <row r="36" spans="1:16" ht="18">
      <c r="A36" s="15"/>
      <c r="B36" s="15"/>
      <c r="C36" s="15"/>
      <c r="D36" s="15"/>
      <c r="E36" s="17"/>
      <c r="F36" s="15"/>
      <c r="G36" s="42"/>
      <c r="H36" s="15"/>
      <c r="I36" s="40"/>
      <c r="J36" s="15"/>
      <c r="K36" s="17"/>
      <c r="L36" s="15"/>
      <c r="M36" s="15"/>
      <c r="O36" t="str">
        <f t="shared" si="0"/>
        <v/>
      </c>
      <c r="P36" s="15"/>
    </row>
    <row r="37" spans="1:16" ht="18">
      <c r="A37" s="15"/>
      <c r="B37" s="15"/>
      <c r="C37" s="15"/>
      <c r="D37" s="15"/>
      <c r="E37" s="17"/>
      <c r="F37" s="15"/>
      <c r="G37" s="42"/>
      <c r="H37" s="15"/>
      <c r="I37" s="40"/>
      <c r="J37" s="15"/>
      <c r="K37" s="17"/>
      <c r="L37" s="15"/>
      <c r="M37" s="15"/>
      <c r="O37" t="str">
        <f t="shared" si="0"/>
        <v/>
      </c>
      <c r="P37" s="15"/>
    </row>
    <row r="38" spans="1:16" ht="18">
      <c r="A38" s="15"/>
      <c r="B38" s="15"/>
      <c r="C38" s="15"/>
      <c r="D38" s="15"/>
      <c r="E38" s="17"/>
      <c r="F38" s="15"/>
      <c r="G38" s="42"/>
      <c r="H38" s="15"/>
      <c r="I38" s="40"/>
      <c r="J38" s="15"/>
      <c r="K38" s="17"/>
      <c r="L38" s="15"/>
      <c r="M38" s="15"/>
      <c r="O38" t="str">
        <f t="shared" si="0"/>
        <v/>
      </c>
      <c r="P38" s="15"/>
    </row>
    <row r="39" spans="1:16" ht="18">
      <c r="A39" s="15"/>
      <c r="B39" s="15"/>
      <c r="C39" s="15"/>
      <c r="D39" s="15"/>
      <c r="E39" s="17"/>
      <c r="F39" s="15"/>
      <c r="G39" s="42"/>
      <c r="H39" s="15"/>
      <c r="I39" s="40"/>
      <c r="J39" s="15"/>
      <c r="K39" s="17"/>
      <c r="L39" s="15"/>
      <c r="M39" s="15"/>
      <c r="O39" t="str">
        <f t="shared" si="0"/>
        <v/>
      </c>
      <c r="P39" s="15"/>
    </row>
    <row r="40" spans="1:16" ht="18">
      <c r="A40" s="15"/>
      <c r="B40" s="15"/>
      <c r="C40" s="15"/>
      <c r="D40" s="15"/>
      <c r="E40" s="17"/>
      <c r="F40" s="15"/>
      <c r="G40" s="42"/>
      <c r="H40" s="15"/>
      <c r="I40" s="40"/>
      <c r="J40" s="15"/>
      <c r="K40" s="17"/>
      <c r="L40" s="15"/>
      <c r="M40" s="15"/>
      <c r="O40" t="str">
        <f t="shared" ref="O40:O67" si="1">IF($B40="","",IF($A40="",1,0)+IF($B40="",1,0)+IF($C40="",1,0)+IF($D40="",1,0)+IF($E40="",1,0)+IF($F40="",1,0)+IF($G40="",1,0)+IF($H40="",1,0)+IF($I40="",1,0)+IF($K40="",1,0)+IF(AND($H40="別居",$P40=""),1,0))</f>
        <v/>
      </c>
      <c r="P40" s="15"/>
    </row>
    <row r="41" spans="1:16" ht="18">
      <c r="A41" s="15"/>
      <c r="B41" s="15"/>
      <c r="C41" s="15"/>
      <c r="D41" s="15"/>
      <c r="E41" s="17"/>
      <c r="F41" s="15"/>
      <c r="G41" s="42"/>
      <c r="H41" s="15"/>
      <c r="I41" s="40"/>
      <c r="J41" s="15"/>
      <c r="K41" s="17"/>
      <c r="L41" s="15"/>
      <c r="M41" s="15"/>
      <c r="O41" t="str">
        <f t="shared" si="1"/>
        <v/>
      </c>
      <c r="P41" s="15"/>
    </row>
    <row r="42" spans="1:16" ht="18">
      <c r="A42" s="15"/>
      <c r="B42" s="15"/>
      <c r="C42" s="15"/>
      <c r="D42" s="15"/>
      <c r="E42" s="17"/>
      <c r="F42" s="15"/>
      <c r="G42" s="42"/>
      <c r="H42" s="15"/>
      <c r="I42" s="40"/>
      <c r="J42" s="15"/>
      <c r="K42" s="17"/>
      <c r="L42" s="15"/>
      <c r="M42" s="15"/>
      <c r="O42" t="str">
        <f t="shared" si="1"/>
        <v/>
      </c>
      <c r="P42" s="15"/>
    </row>
    <row r="43" spans="1:16" ht="18">
      <c r="A43" s="15"/>
      <c r="B43" s="15"/>
      <c r="C43" s="15"/>
      <c r="D43" s="15"/>
      <c r="E43" s="17"/>
      <c r="F43" s="15"/>
      <c r="G43" s="42"/>
      <c r="H43" s="15"/>
      <c r="I43" s="40"/>
      <c r="J43" s="15"/>
      <c r="K43" s="17"/>
      <c r="L43" s="15"/>
      <c r="M43" s="15"/>
      <c r="O43" t="str">
        <f t="shared" si="1"/>
        <v/>
      </c>
      <c r="P43" s="15"/>
    </row>
    <row r="44" spans="1:16" ht="18">
      <c r="A44" s="15"/>
      <c r="B44" s="15"/>
      <c r="C44" s="15"/>
      <c r="D44" s="15"/>
      <c r="E44" s="17"/>
      <c r="F44" s="15"/>
      <c r="G44" s="42"/>
      <c r="H44" s="15"/>
      <c r="I44" s="40"/>
      <c r="J44" s="15"/>
      <c r="K44" s="17"/>
      <c r="L44" s="15"/>
      <c r="M44" s="15"/>
      <c r="O44" t="str">
        <f t="shared" si="1"/>
        <v/>
      </c>
      <c r="P44" s="15"/>
    </row>
    <row r="45" spans="1:16" ht="18">
      <c r="A45" s="15"/>
      <c r="B45" s="15"/>
      <c r="C45" s="15"/>
      <c r="D45" s="15"/>
      <c r="E45" s="17"/>
      <c r="F45" s="15"/>
      <c r="G45" s="42"/>
      <c r="H45" s="15"/>
      <c r="I45" s="40"/>
      <c r="J45" s="15"/>
      <c r="K45" s="17"/>
      <c r="L45" s="15"/>
      <c r="M45" s="15"/>
      <c r="O45" t="str">
        <f t="shared" si="1"/>
        <v/>
      </c>
      <c r="P45" s="15"/>
    </row>
    <row r="46" spans="1:16" ht="18">
      <c r="A46" s="15"/>
      <c r="B46" s="15"/>
      <c r="C46" s="15"/>
      <c r="D46" s="15"/>
      <c r="E46" s="17"/>
      <c r="F46" s="15"/>
      <c r="G46" s="42"/>
      <c r="H46" s="15"/>
      <c r="I46" s="40"/>
      <c r="J46" s="15"/>
      <c r="K46" s="17"/>
      <c r="L46" s="15"/>
      <c r="M46" s="15"/>
      <c r="O46" t="str">
        <f t="shared" si="1"/>
        <v/>
      </c>
      <c r="P46" s="15"/>
    </row>
    <row r="47" spans="1:16" ht="18">
      <c r="A47" s="15"/>
      <c r="B47" s="15"/>
      <c r="C47" s="15"/>
      <c r="D47" s="15"/>
      <c r="E47" s="17"/>
      <c r="F47" s="15"/>
      <c r="G47" s="42"/>
      <c r="H47" s="15"/>
      <c r="I47" s="40"/>
      <c r="J47" s="15"/>
      <c r="K47" s="17"/>
      <c r="L47" s="15"/>
      <c r="M47" s="15"/>
      <c r="O47" t="str">
        <f t="shared" si="1"/>
        <v/>
      </c>
      <c r="P47" s="15"/>
    </row>
    <row r="48" spans="1:16" ht="18">
      <c r="A48" s="15"/>
      <c r="B48" s="15"/>
      <c r="C48" s="15"/>
      <c r="D48" s="15"/>
      <c r="E48" s="17"/>
      <c r="F48" s="15"/>
      <c r="G48" s="42"/>
      <c r="H48" s="15"/>
      <c r="I48" s="40"/>
      <c r="J48" s="15"/>
      <c r="K48" s="17"/>
      <c r="L48" s="15"/>
      <c r="M48" s="15"/>
      <c r="O48" t="str">
        <f t="shared" si="1"/>
        <v/>
      </c>
      <c r="P48" s="15"/>
    </row>
    <row r="49" spans="1:16" ht="18">
      <c r="A49" s="15"/>
      <c r="B49" s="15"/>
      <c r="C49" s="15"/>
      <c r="D49" s="15"/>
      <c r="E49" s="17"/>
      <c r="F49" s="15"/>
      <c r="G49" s="42"/>
      <c r="H49" s="15"/>
      <c r="I49" s="40"/>
      <c r="J49" s="15"/>
      <c r="K49" s="17"/>
      <c r="L49" s="15"/>
      <c r="M49" s="15"/>
      <c r="O49" t="str">
        <f t="shared" si="1"/>
        <v/>
      </c>
      <c r="P49" s="15"/>
    </row>
    <row r="50" spans="1:16" ht="18">
      <c r="A50" s="15"/>
      <c r="B50" s="15"/>
      <c r="C50" s="15"/>
      <c r="D50" s="15"/>
      <c r="E50" s="17"/>
      <c r="F50" s="15"/>
      <c r="G50" s="42"/>
      <c r="H50" s="15"/>
      <c r="I50" s="40"/>
      <c r="J50" s="15"/>
      <c r="K50" s="17"/>
      <c r="L50" s="15"/>
      <c r="M50" s="15"/>
      <c r="O50" t="str">
        <f t="shared" si="1"/>
        <v/>
      </c>
      <c r="P50" s="15"/>
    </row>
    <row r="51" spans="1:16" ht="18">
      <c r="A51" s="15"/>
      <c r="B51" s="15"/>
      <c r="C51" s="15"/>
      <c r="D51" s="15"/>
      <c r="E51" s="17"/>
      <c r="F51" s="15"/>
      <c r="G51" s="42"/>
      <c r="H51" s="15"/>
      <c r="I51" s="40"/>
      <c r="J51" s="15"/>
      <c r="K51" s="17"/>
      <c r="L51" s="15"/>
      <c r="M51" s="15"/>
      <c r="O51" t="str">
        <f t="shared" si="1"/>
        <v/>
      </c>
      <c r="P51" s="15"/>
    </row>
    <row r="52" spans="1:16" ht="18">
      <c r="A52" s="15"/>
      <c r="B52" s="15"/>
      <c r="C52" s="15"/>
      <c r="D52" s="15"/>
      <c r="E52" s="17"/>
      <c r="F52" s="15"/>
      <c r="G52" s="42"/>
      <c r="H52" s="15"/>
      <c r="I52" s="40"/>
      <c r="J52" s="15"/>
      <c r="K52" s="17"/>
      <c r="L52" s="15"/>
      <c r="M52" s="15"/>
      <c r="O52" t="str">
        <f t="shared" si="1"/>
        <v/>
      </c>
      <c r="P52" s="15"/>
    </row>
    <row r="53" spans="1:16" ht="18">
      <c r="A53" s="15"/>
      <c r="B53" s="15"/>
      <c r="C53" s="15"/>
      <c r="D53" s="15"/>
      <c r="E53" s="17"/>
      <c r="F53" s="15"/>
      <c r="G53" s="42"/>
      <c r="H53" s="15"/>
      <c r="I53" s="40"/>
      <c r="J53" s="15"/>
      <c r="K53" s="17"/>
      <c r="L53" s="15"/>
      <c r="M53" s="15"/>
      <c r="O53" t="str">
        <f t="shared" si="1"/>
        <v/>
      </c>
      <c r="P53" s="15"/>
    </row>
    <row r="54" spans="1:16" ht="18">
      <c r="A54" s="15"/>
      <c r="B54" s="15"/>
      <c r="C54" s="15"/>
      <c r="D54" s="15"/>
      <c r="E54" s="17"/>
      <c r="F54" s="15"/>
      <c r="G54" s="42"/>
      <c r="H54" s="15"/>
      <c r="I54" s="40"/>
      <c r="J54" s="15"/>
      <c r="K54" s="17"/>
      <c r="L54" s="15"/>
      <c r="M54" s="15"/>
      <c r="O54" t="str">
        <f t="shared" si="1"/>
        <v/>
      </c>
      <c r="P54" s="15"/>
    </row>
    <row r="55" spans="1:16" ht="18">
      <c r="A55" s="15"/>
      <c r="B55" s="15"/>
      <c r="C55" s="15"/>
      <c r="D55" s="15"/>
      <c r="E55" s="17"/>
      <c r="F55" s="15"/>
      <c r="G55" s="42"/>
      <c r="H55" s="15"/>
      <c r="I55" s="40"/>
      <c r="J55" s="15"/>
      <c r="K55" s="17"/>
      <c r="L55" s="15"/>
      <c r="M55" s="15"/>
      <c r="O55" t="str">
        <f t="shared" si="1"/>
        <v/>
      </c>
      <c r="P55" s="15"/>
    </row>
    <row r="56" spans="1:16" ht="18">
      <c r="A56" s="15"/>
      <c r="B56" s="15"/>
      <c r="C56" s="15"/>
      <c r="D56" s="15"/>
      <c r="E56" s="17"/>
      <c r="F56" s="15"/>
      <c r="G56" s="42"/>
      <c r="H56" s="15"/>
      <c r="I56" s="40"/>
      <c r="J56" s="15"/>
      <c r="K56" s="17"/>
      <c r="L56" s="15"/>
      <c r="M56" s="15"/>
      <c r="O56" t="str">
        <f t="shared" si="1"/>
        <v/>
      </c>
      <c r="P56" s="15"/>
    </row>
    <row r="57" spans="1:16" ht="18">
      <c r="A57" s="15"/>
      <c r="B57" s="15"/>
      <c r="C57" s="15"/>
      <c r="D57" s="15"/>
      <c r="E57" s="17"/>
      <c r="F57" s="15"/>
      <c r="G57" s="42"/>
      <c r="H57" s="15"/>
      <c r="I57" s="40"/>
      <c r="J57" s="15"/>
      <c r="K57" s="17"/>
      <c r="L57" s="15"/>
      <c r="M57" s="15"/>
      <c r="O57" t="str">
        <f t="shared" si="1"/>
        <v/>
      </c>
      <c r="P57" s="15"/>
    </row>
    <row r="58" spans="1:16" ht="18">
      <c r="A58" s="15"/>
      <c r="B58" s="15"/>
      <c r="C58" s="15"/>
      <c r="D58" s="15"/>
      <c r="E58" s="17"/>
      <c r="F58" s="15"/>
      <c r="G58" s="42"/>
      <c r="H58" s="15"/>
      <c r="I58" s="40"/>
      <c r="J58" s="15"/>
      <c r="K58" s="17"/>
      <c r="L58" s="15"/>
      <c r="M58" s="15"/>
      <c r="O58" t="str">
        <f t="shared" si="1"/>
        <v/>
      </c>
      <c r="P58" s="15"/>
    </row>
    <row r="59" spans="1:16" ht="18">
      <c r="A59" s="15"/>
      <c r="B59" s="15"/>
      <c r="C59" s="15"/>
      <c r="D59" s="15"/>
      <c r="E59" s="17"/>
      <c r="F59" s="15"/>
      <c r="G59" s="42"/>
      <c r="H59" s="15"/>
      <c r="I59" s="40"/>
      <c r="J59" s="15"/>
      <c r="K59" s="17"/>
      <c r="L59" s="15"/>
      <c r="M59" s="15"/>
      <c r="O59" t="str">
        <f t="shared" si="1"/>
        <v/>
      </c>
      <c r="P59" s="15"/>
    </row>
    <row r="60" spans="1:16" ht="18">
      <c r="A60" s="15"/>
      <c r="B60" s="15"/>
      <c r="C60" s="15"/>
      <c r="D60" s="15"/>
      <c r="E60" s="17"/>
      <c r="F60" s="15"/>
      <c r="G60" s="42"/>
      <c r="H60" s="15"/>
      <c r="I60" s="40"/>
      <c r="J60" s="15"/>
      <c r="K60" s="17"/>
      <c r="L60" s="15"/>
      <c r="M60" s="15"/>
      <c r="O60" t="str">
        <f t="shared" si="1"/>
        <v/>
      </c>
      <c r="P60" s="15"/>
    </row>
    <row r="61" spans="1:16" ht="18">
      <c r="A61" s="15"/>
      <c r="B61" s="15"/>
      <c r="C61" s="15"/>
      <c r="D61" s="15"/>
      <c r="E61" s="17"/>
      <c r="F61" s="15"/>
      <c r="G61" s="42"/>
      <c r="H61" s="15"/>
      <c r="I61" s="40"/>
      <c r="J61" s="15"/>
      <c r="K61" s="17"/>
      <c r="L61" s="15"/>
      <c r="M61" s="15"/>
      <c r="O61" t="str">
        <f t="shared" si="1"/>
        <v/>
      </c>
      <c r="P61" s="15"/>
    </row>
    <row r="62" spans="1:16" ht="18">
      <c r="A62" s="15"/>
      <c r="B62" s="15"/>
      <c r="C62" s="15"/>
      <c r="D62" s="15"/>
      <c r="E62" s="17"/>
      <c r="F62" s="15"/>
      <c r="G62" s="42"/>
      <c r="H62" s="15"/>
      <c r="I62" s="40"/>
      <c r="J62" s="15"/>
      <c r="K62" s="17"/>
      <c r="L62" s="15"/>
      <c r="M62" s="15"/>
      <c r="O62" t="str">
        <f t="shared" si="1"/>
        <v/>
      </c>
      <c r="P62" s="15"/>
    </row>
    <row r="63" spans="1:16" ht="18">
      <c r="A63" s="15"/>
      <c r="B63" s="15"/>
      <c r="C63" s="15"/>
      <c r="D63" s="15"/>
      <c r="E63" s="17"/>
      <c r="F63" s="15"/>
      <c r="G63" s="42"/>
      <c r="H63" s="15"/>
      <c r="I63" s="40"/>
      <c r="J63" s="15"/>
      <c r="K63" s="17"/>
      <c r="L63" s="15"/>
      <c r="M63" s="15"/>
      <c r="O63" t="str">
        <f t="shared" si="1"/>
        <v/>
      </c>
      <c r="P63" s="15"/>
    </row>
    <row r="64" spans="1:16" ht="18">
      <c r="A64" s="15"/>
      <c r="B64" s="15"/>
      <c r="C64" s="15"/>
      <c r="D64" s="15"/>
      <c r="E64" s="17"/>
      <c r="F64" s="15"/>
      <c r="G64" s="42"/>
      <c r="H64" s="15"/>
      <c r="I64" s="40"/>
      <c r="J64" s="15"/>
      <c r="K64" s="17"/>
      <c r="L64" s="15"/>
      <c r="M64" s="15"/>
      <c r="O64" t="str">
        <f t="shared" si="1"/>
        <v/>
      </c>
      <c r="P64" s="15"/>
    </row>
    <row r="65" spans="1:16" ht="18">
      <c r="A65" s="15"/>
      <c r="B65" s="15"/>
      <c r="C65" s="15"/>
      <c r="D65" s="15"/>
      <c r="E65" s="17"/>
      <c r="F65" s="15"/>
      <c r="G65" s="42"/>
      <c r="H65" s="15"/>
      <c r="I65" s="40"/>
      <c r="J65" s="15"/>
      <c r="K65" s="17"/>
      <c r="L65" s="15"/>
      <c r="M65" s="15"/>
      <c r="O65" t="str">
        <f t="shared" si="1"/>
        <v/>
      </c>
      <c r="P65" s="15"/>
    </row>
    <row r="66" spans="1:16" ht="18">
      <c r="A66" s="15"/>
      <c r="B66" s="15"/>
      <c r="C66" s="15"/>
      <c r="D66" s="15"/>
      <c r="E66" s="17"/>
      <c r="F66" s="15"/>
      <c r="G66" s="42"/>
      <c r="H66" s="15"/>
      <c r="I66" s="40"/>
      <c r="J66" s="15"/>
      <c r="K66" s="17"/>
      <c r="L66" s="15"/>
      <c r="M66" s="15"/>
      <c r="O66" t="str">
        <f t="shared" si="1"/>
        <v/>
      </c>
      <c r="P66" s="15"/>
    </row>
    <row r="67" spans="1:16" ht="18">
      <c r="A67" s="15"/>
      <c r="B67" s="15"/>
      <c r="C67" s="15"/>
      <c r="D67" s="15"/>
      <c r="E67" s="17"/>
      <c r="F67" s="15"/>
      <c r="G67" s="42"/>
      <c r="H67" s="15"/>
      <c r="I67" s="40"/>
      <c r="J67" s="15"/>
      <c r="K67" s="17"/>
      <c r="L67" s="15"/>
      <c r="M67" s="15"/>
      <c r="O67" t="str">
        <f t="shared" si="1"/>
        <v/>
      </c>
      <c r="P67" s="15"/>
    </row>
  </sheetData>
  <mergeCells count="10">
    <mergeCell ref="A5:G5"/>
    <mergeCell ref="C4:D4"/>
    <mergeCell ref="A4:B4"/>
    <mergeCell ref="G4:H4"/>
    <mergeCell ref="E4:F4"/>
    <mergeCell ref="A1:P1"/>
    <mergeCell ref="C3:D3"/>
    <mergeCell ref="A3:B3"/>
    <mergeCell ref="G3:H3"/>
    <mergeCell ref="E3:F3"/>
  </mergeCells>
  <phoneticPr fontId="22"/>
  <conditionalFormatting sqref="A5">
    <cfRule type="expression" dxfId="10" priority="2" stopIfTrue="1">
      <formula>ISNUMBER(SEARCH("未入力はありません",A5))</formula>
    </cfRule>
    <cfRule type="expression" dxfId="9" priority="3" stopIfTrue="1">
      <formula>ISNUMBER(SEARCH("未入力が",A5))</formula>
    </cfRule>
  </conditionalFormatting>
  <conditionalFormatting sqref="A8:A67">
    <cfRule type="expression" dxfId="8" priority="4" stopIfTrue="1">
      <formula>AND($B8&lt;&gt;"",A8="")</formula>
    </cfRule>
  </conditionalFormatting>
  <conditionalFormatting sqref="B8:B67">
    <cfRule type="expression" dxfId="7" priority="13" stopIfTrue="1">
      <formula>AND($B8="",OR($A8&lt;&gt;"",$E8&lt;&gt;"",$G8&lt;&gt;""))</formula>
    </cfRule>
  </conditionalFormatting>
  <conditionalFormatting sqref="B8:C67">
    <cfRule type="expression" dxfId="6" priority="15" stopIfTrue="1">
      <formula>AND(B8&lt;&gt;"",ISERROR(FIND("　",B8)),ISERROR(FIND(" ",B8)))</formula>
    </cfRule>
  </conditionalFormatting>
  <conditionalFormatting sqref="C8:I67">
    <cfRule type="expression" dxfId="5" priority="5" stopIfTrue="1">
      <formula>AND($B8&lt;&gt;"",C8="")</formula>
    </cfRule>
  </conditionalFormatting>
  <conditionalFormatting sqref="E8:E67">
    <cfRule type="expression" dxfId="4" priority="17" stopIfTrue="1">
      <formula>AND(ISNUMBER(E8),E8&gt;80000)</formula>
    </cfRule>
  </conditionalFormatting>
  <conditionalFormatting sqref="G4">
    <cfRule type="dataBar" priority="1">
      <dataBar>
        <cfvo type="num" val="0"/>
        <cfvo type="num" val="1"/>
        <color rgb="FF63C384"/>
      </dataBar>
    </cfRule>
  </conditionalFormatting>
  <conditionalFormatting sqref="G8:G67">
    <cfRule type="expression" dxfId="3" priority="14" stopIfTrue="1">
      <formula>AND(G8&lt;&gt;"",G8&lt;&gt;"後日提出",G8&lt;&gt;"別経路提出",LEN(G8)&lt;&gt;12)</formula>
    </cfRule>
  </conditionalFormatting>
  <conditionalFormatting sqref="K8:K67">
    <cfRule type="expression" dxfId="2" priority="12" stopIfTrue="1">
      <formula>AND($B8&lt;&gt;"",K8="")</formula>
    </cfRule>
    <cfRule type="expression" dxfId="1" priority="18" stopIfTrue="1">
      <formula>AND(ISNUMBER(K8),K8&gt;80000)</formula>
    </cfRule>
  </conditionalFormatting>
  <conditionalFormatting sqref="P8:P67">
    <cfRule type="expression" dxfId="0" priority="19" stopIfTrue="1">
      <formula>AND($H8="別居",P8="")</formula>
    </cfRule>
  </conditionalFormatting>
  <dataValidations count="10">
    <dataValidation type="whole" allowBlank="1" showInputMessage="1" showErrorMessage="1" errorTitle="入力エラー" error="整数で入力してください。" promptTitle="入力のヒント" prompt="シート①の『フォーム内No.』（左端の番号）を入力。どの従業員の被扶養者かを紐付けます。" sqref="A7:A67" xr:uid="{00000000-0002-0000-0400-000000000000}">
      <formula1>1</formula1>
      <formula2>9999</formula2>
    </dataValidation>
    <dataValidation type="list" allowBlank="1" showInputMessage="1" showErrorMessage="1" errorTitle="入力エラー" error="一覧から選択してください。" sqref="D7:D67" xr:uid="{00000000-0002-0000-0400-000001000000}">
      <formula1>m_続柄</formula1>
    </dataValidation>
    <dataValidation type="whole" errorStyle="warning" allowBlank="1" showInputMessage="1" showErrorMessage="1" errorTitle="入力エラー" error="日付（例 1960/4/1）か、スラッシュ無しの8桁（19600401）で入力してください。" promptTitle="入力のヒント" prompt="西暦の日付。1960/4/1 でも 19600401 でも入力できます（無しは後で日付に整えます）。" sqref="E7:E67" xr:uid="{00000000-0002-0000-0400-000002000000}">
      <formula1>1</formula1>
      <formula2>99999999</formula2>
    </dataValidation>
    <dataValidation type="list" allowBlank="1" showInputMessage="1" showErrorMessage="1" errorTitle="入力エラー" error="一覧から選択してください。" sqref="F7:F67" xr:uid="{00000000-0002-0000-0400-000003000000}">
      <formula1>m_性別</formula1>
    </dataValidation>
    <dataValidation type="list" allowBlank="1" showInputMessage="1" showErrorMessage="1" errorTitle="入力エラー" error="一覧から選択してください。" promptTitle="入力のヒント" prompt="認定要件（生計維持）の判断に影響します。" sqref="H7:H67" xr:uid="{00000000-0002-0000-0400-000004000000}">
      <formula1>m_同居別居</formula1>
    </dataValidation>
    <dataValidation type="whole" allowBlank="1" showInputMessage="1" showErrorMessage="1" errorTitle="入力エラー" error="整数で入力してください。" promptTitle="入力のヒント" prompt="今後1年間の収入見込み。原則130万円未満（60歳以上・障害者は180万円未満）が認定の目安。" sqref="I7:I67" xr:uid="{00000000-0002-0000-0400-000005000000}">
      <formula1>0</formula1>
      <formula2>100000000</formula2>
    </dataValidation>
    <dataValidation type="whole" errorStyle="warning" allowBlank="1" showInputMessage="1" showErrorMessage="1" errorTitle="入力エラー" error="日付（例 1960/4/1）か、スラッシュ無しの8桁（19600401）で入力してください。" promptTitle="入力のヒント" prompt="扶養に入れる日（資格取得日や入社日など）。西暦 YYYY/MM/DD。" sqref="K7:K67" xr:uid="{00000000-0002-0000-0400-000006000000}">
      <formula1>1</formula1>
      <formula2>99999999</formula2>
    </dataValidation>
    <dataValidation type="list" allowBlank="1" showInputMessage="1" showErrorMessage="1" errorTitle="入力エラー" error="一覧から選択してください。" promptTitle="入力のヒント" prompt="配偶者で20歳以上60歳未満のときに該当の可能性。第3号被保険者の届出要否の確認に使用。" sqref="L7:L67" xr:uid="{00000000-0002-0000-0400-000007000000}">
      <formula1>m_第3号</formula1>
    </dataValidation>
    <dataValidation type="list" allowBlank="1" showInputMessage="1" promptTitle="入力のヒント" prompt="12桁の数字。ハイフン無し。会社所定の安全な経路で別提出する場合は、ドロップダウンから『別経路提出』を選んでください。入社時点で未回収なら『後日提出』を選択します。" sqref="G7:G67" xr:uid="{00000000-0002-0000-0400-000008000000}">
      <formula1>m_番号提出状態</formula1>
    </dataValidation>
    <dataValidation allowBlank="1" showInputMessage="1" promptTitle="入力のヒント" prompt="同居・別居が『別居』のときにご記入ください（郵便番号・都道府県から）。" sqref="P7:P67" xr:uid="{00000000-0002-0000-0400-000009000000}"/>
  </dataValidations>
  <pageMargins left="0.75" right="0.75" top="1" bottom="1" header="0.5" footer="0.5"/>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T48"/>
  <sheetViews>
    <sheetView workbookViewId="0"/>
  </sheetViews>
  <sheetFormatPr baseColWidth="10" defaultColWidth="8.83203125" defaultRowHeight="14"/>
  <cols>
    <col min="1" max="18" width="16" customWidth="1"/>
    <col min="19" max="19" width="24" customWidth="1"/>
  </cols>
  <sheetData>
    <row r="1" spans="1:20" ht="20.5" customHeight="1">
      <c r="A1" s="43" t="s">
        <v>245</v>
      </c>
      <c r="B1" s="43" t="s">
        <v>246</v>
      </c>
      <c r="C1" s="43" t="s">
        <v>247</v>
      </c>
      <c r="D1" s="43" t="s">
        <v>248</v>
      </c>
      <c r="E1" s="43" t="s">
        <v>249</v>
      </c>
      <c r="F1" s="43" t="s">
        <v>250</v>
      </c>
      <c r="G1" s="43" t="s">
        <v>251</v>
      </c>
      <c r="H1" s="43" t="s">
        <v>252</v>
      </c>
      <c r="I1" s="43" t="s">
        <v>253</v>
      </c>
      <c r="J1" s="43" t="s">
        <v>254</v>
      </c>
      <c r="K1" s="43" t="s">
        <v>255</v>
      </c>
      <c r="L1" s="43" t="s">
        <v>256</v>
      </c>
      <c r="M1" s="43" t="s">
        <v>257</v>
      </c>
      <c r="N1" s="43" t="s">
        <v>258</v>
      </c>
      <c r="O1" s="43" t="s">
        <v>259</v>
      </c>
      <c r="P1" s="43" t="s">
        <v>260</v>
      </c>
      <c r="Q1" s="43" t="s">
        <v>261</v>
      </c>
      <c r="R1" s="43" t="s">
        <v>262</v>
      </c>
      <c r="S1" s="43" t="s">
        <v>263</v>
      </c>
      <c r="T1" t="s">
        <v>264</v>
      </c>
    </row>
    <row r="2" spans="1:20" ht="18">
      <c r="A2" s="44" t="s">
        <v>207</v>
      </c>
      <c r="B2" s="44" t="s">
        <v>208</v>
      </c>
      <c r="C2" s="44" t="s">
        <v>211</v>
      </c>
      <c r="D2" s="44" t="s">
        <v>265</v>
      </c>
      <c r="E2" s="44" t="s">
        <v>249</v>
      </c>
      <c r="F2" s="44" t="s">
        <v>249</v>
      </c>
      <c r="G2" s="44" t="s">
        <v>220</v>
      </c>
      <c r="H2" s="44" t="s">
        <v>209</v>
      </c>
      <c r="I2" s="44" t="s">
        <v>210</v>
      </c>
      <c r="J2" s="44" t="s">
        <v>220</v>
      </c>
      <c r="K2" s="44" t="s">
        <v>266</v>
      </c>
      <c r="L2" s="44" t="s">
        <v>220</v>
      </c>
      <c r="M2" s="44" t="s">
        <v>267</v>
      </c>
      <c r="N2" s="44" t="s">
        <v>237</v>
      </c>
      <c r="O2" s="44" t="s">
        <v>240</v>
      </c>
      <c r="P2" s="44" t="s">
        <v>242</v>
      </c>
      <c r="Q2" s="44" t="s">
        <v>218</v>
      </c>
      <c r="R2" s="44" t="s">
        <v>268</v>
      </c>
      <c r="S2" s="44" t="s">
        <v>269</v>
      </c>
      <c r="T2" t="s">
        <v>270</v>
      </c>
    </row>
    <row r="3" spans="1:20" ht="18">
      <c r="A3" s="44" t="s">
        <v>238</v>
      </c>
      <c r="B3" s="44" t="s">
        <v>271</v>
      </c>
      <c r="C3" s="44" t="s">
        <v>272</v>
      </c>
      <c r="D3" s="44" t="s">
        <v>273</v>
      </c>
      <c r="F3" s="44" t="s">
        <v>274</v>
      </c>
      <c r="G3" s="44" t="s">
        <v>209</v>
      </c>
      <c r="H3" s="44" t="s">
        <v>220</v>
      </c>
      <c r="I3" s="44" t="s">
        <v>275</v>
      </c>
      <c r="J3" s="44" t="s">
        <v>209</v>
      </c>
      <c r="K3" s="44" t="s">
        <v>276</v>
      </c>
      <c r="L3" s="44" t="s">
        <v>209</v>
      </c>
      <c r="M3" s="44" t="s">
        <v>219</v>
      </c>
      <c r="N3" s="44" t="s">
        <v>277</v>
      </c>
      <c r="O3" s="44" t="s">
        <v>278</v>
      </c>
      <c r="P3" s="44" t="s">
        <v>279</v>
      </c>
      <c r="Q3" s="44" t="s">
        <v>280</v>
      </c>
      <c r="R3" s="44" t="s">
        <v>281</v>
      </c>
      <c r="S3" s="44" t="s">
        <v>282</v>
      </c>
      <c r="T3" t="s">
        <v>283</v>
      </c>
    </row>
    <row r="4" spans="1:20" ht="18">
      <c r="B4" s="44" t="s">
        <v>284</v>
      </c>
      <c r="C4" s="44" t="s">
        <v>285</v>
      </c>
      <c r="D4" s="44" t="s">
        <v>286</v>
      </c>
      <c r="I4" s="44" t="s">
        <v>287</v>
      </c>
      <c r="J4" s="44" t="s">
        <v>288</v>
      </c>
      <c r="M4" s="44" t="s">
        <v>288</v>
      </c>
      <c r="N4" s="44" t="s">
        <v>289</v>
      </c>
      <c r="R4" s="44" t="s">
        <v>290</v>
      </c>
      <c r="S4" s="44" t="s">
        <v>222</v>
      </c>
      <c r="T4" t="s">
        <v>291</v>
      </c>
    </row>
    <row r="5" spans="1:20" ht="18">
      <c r="B5" s="44" t="s">
        <v>292</v>
      </c>
      <c r="C5" s="44" t="s">
        <v>293</v>
      </c>
      <c r="N5" s="44" t="s">
        <v>294</v>
      </c>
      <c r="R5" s="44" t="s">
        <v>295</v>
      </c>
      <c r="S5" s="44" t="s">
        <v>296</v>
      </c>
      <c r="T5" t="s">
        <v>297</v>
      </c>
    </row>
    <row r="6" spans="1:20" ht="18">
      <c r="B6" s="44" t="s">
        <v>298</v>
      </c>
      <c r="C6" s="44" t="s">
        <v>299</v>
      </c>
      <c r="N6" s="44" t="s">
        <v>300</v>
      </c>
      <c r="R6" s="44" t="s">
        <v>301</v>
      </c>
      <c r="S6" s="44" t="s">
        <v>302</v>
      </c>
      <c r="T6" t="s">
        <v>299</v>
      </c>
    </row>
    <row r="7" spans="1:20" ht="18">
      <c r="B7" s="44" t="s">
        <v>299</v>
      </c>
      <c r="N7" s="44" t="s">
        <v>303</v>
      </c>
      <c r="R7" s="44" t="s">
        <v>304</v>
      </c>
      <c r="S7" s="44" t="s">
        <v>305</v>
      </c>
    </row>
    <row r="8" spans="1:20" ht="18">
      <c r="N8" s="44" t="s">
        <v>299</v>
      </c>
      <c r="R8" s="44" t="s">
        <v>306</v>
      </c>
      <c r="S8" s="44" t="s">
        <v>307</v>
      </c>
    </row>
    <row r="9" spans="1:20" ht="18">
      <c r="R9" s="44" t="s">
        <v>308</v>
      </c>
      <c r="S9" s="44" t="s">
        <v>309</v>
      </c>
    </row>
    <row r="10" spans="1:20" ht="18">
      <c r="R10" s="44" t="s">
        <v>310</v>
      </c>
      <c r="S10" s="44" t="s">
        <v>311</v>
      </c>
    </row>
    <row r="11" spans="1:20" ht="18">
      <c r="R11" s="44" t="s">
        <v>312</v>
      </c>
      <c r="S11" s="44" t="s">
        <v>313</v>
      </c>
    </row>
    <row r="12" spans="1:20" ht="18">
      <c r="R12" s="44" t="s">
        <v>314</v>
      </c>
      <c r="S12" s="44" t="s">
        <v>315</v>
      </c>
    </row>
    <row r="13" spans="1:20" ht="18">
      <c r="R13" s="44" t="s">
        <v>316</v>
      </c>
      <c r="S13" s="44" t="s">
        <v>317</v>
      </c>
    </row>
    <row r="14" spans="1:20" ht="18">
      <c r="R14" s="44" t="s">
        <v>214</v>
      </c>
    </row>
    <row r="15" spans="1:20" ht="18">
      <c r="R15" s="44" t="s">
        <v>318</v>
      </c>
    </row>
    <row r="16" spans="1:20" ht="18">
      <c r="R16" s="44" t="s">
        <v>319</v>
      </c>
    </row>
    <row r="17" spans="18:18" ht="18">
      <c r="R17" s="44" t="s">
        <v>320</v>
      </c>
    </row>
    <row r="18" spans="18:18" ht="18">
      <c r="R18" s="44" t="s">
        <v>321</v>
      </c>
    </row>
    <row r="19" spans="18:18" ht="18">
      <c r="R19" s="44" t="s">
        <v>322</v>
      </c>
    </row>
    <row r="20" spans="18:18" ht="18">
      <c r="R20" s="44" t="s">
        <v>323</v>
      </c>
    </row>
    <row r="21" spans="18:18" ht="18">
      <c r="R21" s="44" t="s">
        <v>324</v>
      </c>
    </row>
    <row r="22" spans="18:18" ht="18">
      <c r="R22" s="44" t="s">
        <v>325</v>
      </c>
    </row>
    <row r="23" spans="18:18" ht="18">
      <c r="R23" s="44" t="s">
        <v>326</v>
      </c>
    </row>
    <row r="24" spans="18:18" ht="18">
      <c r="R24" s="44" t="s">
        <v>327</v>
      </c>
    </row>
    <row r="25" spans="18:18" ht="18">
      <c r="R25" s="44" t="s">
        <v>328</v>
      </c>
    </row>
    <row r="26" spans="18:18" ht="18">
      <c r="R26" s="44" t="s">
        <v>329</v>
      </c>
    </row>
    <row r="27" spans="18:18" ht="18">
      <c r="R27" s="44" t="s">
        <v>330</v>
      </c>
    </row>
    <row r="28" spans="18:18" ht="18">
      <c r="R28" s="44" t="s">
        <v>331</v>
      </c>
    </row>
    <row r="29" spans="18:18" ht="18">
      <c r="R29" s="44" t="s">
        <v>332</v>
      </c>
    </row>
    <row r="30" spans="18:18" ht="18">
      <c r="R30" s="44" t="s">
        <v>333</v>
      </c>
    </row>
    <row r="31" spans="18:18" ht="18">
      <c r="R31" s="44" t="s">
        <v>334</v>
      </c>
    </row>
    <row r="32" spans="18:18" ht="18">
      <c r="R32" s="44" t="s">
        <v>335</v>
      </c>
    </row>
    <row r="33" spans="18:18" ht="18">
      <c r="R33" s="44" t="s">
        <v>336</v>
      </c>
    </row>
    <row r="34" spans="18:18" ht="18">
      <c r="R34" s="44" t="s">
        <v>337</v>
      </c>
    </row>
    <row r="35" spans="18:18" ht="18">
      <c r="R35" s="44" t="s">
        <v>338</v>
      </c>
    </row>
    <row r="36" spans="18:18" ht="18">
      <c r="R36" s="44" t="s">
        <v>339</v>
      </c>
    </row>
    <row r="37" spans="18:18" ht="18">
      <c r="R37" s="44" t="s">
        <v>340</v>
      </c>
    </row>
    <row r="38" spans="18:18" ht="18">
      <c r="R38" s="44" t="s">
        <v>341</v>
      </c>
    </row>
    <row r="39" spans="18:18" ht="18">
      <c r="R39" s="44" t="s">
        <v>342</v>
      </c>
    </row>
    <row r="40" spans="18:18" ht="18">
      <c r="R40" s="44" t="s">
        <v>343</v>
      </c>
    </row>
    <row r="41" spans="18:18" ht="18">
      <c r="R41" s="44" t="s">
        <v>344</v>
      </c>
    </row>
    <row r="42" spans="18:18" ht="18">
      <c r="R42" s="44" t="s">
        <v>345</v>
      </c>
    </row>
    <row r="43" spans="18:18" ht="18">
      <c r="R43" s="44" t="s">
        <v>346</v>
      </c>
    </row>
    <row r="44" spans="18:18" ht="18">
      <c r="R44" s="44" t="s">
        <v>347</v>
      </c>
    </row>
    <row r="45" spans="18:18" ht="18">
      <c r="R45" s="44" t="s">
        <v>348</v>
      </c>
    </row>
    <row r="46" spans="18:18" ht="18">
      <c r="R46" s="44" t="s">
        <v>349</v>
      </c>
    </row>
    <row r="47" spans="18:18" ht="18">
      <c r="R47" s="44" t="s">
        <v>350</v>
      </c>
    </row>
    <row r="48" spans="18:18" ht="18">
      <c r="R48" s="44" t="s">
        <v>351</v>
      </c>
    </row>
  </sheetData>
  <phoneticPr fontId="22"/>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0"/>
  <sheetViews>
    <sheetView workbookViewId="0"/>
  </sheetViews>
  <sheetFormatPr baseColWidth="10" defaultColWidth="8.83203125" defaultRowHeight="14"/>
  <sheetData>
    <row r="1" spans="1:4" ht="18">
      <c r="A1" s="44" t="s">
        <v>352</v>
      </c>
      <c r="B1" s="44" t="s">
        <v>140</v>
      </c>
      <c r="C1" s="44"/>
      <c r="D1" s="44"/>
    </row>
    <row r="2" spans="1:4" ht="18">
      <c r="A2" s="44" t="s">
        <v>353</v>
      </c>
      <c r="B2" s="44">
        <v>9</v>
      </c>
      <c r="C2" s="44"/>
      <c r="D2" s="44"/>
    </row>
    <row r="3" spans="1:4" ht="18">
      <c r="A3" s="44" t="s">
        <v>354</v>
      </c>
      <c r="B3" s="44">
        <v>58</v>
      </c>
      <c r="C3" s="44"/>
      <c r="D3" s="44"/>
    </row>
    <row r="4" spans="1:4" ht="18">
      <c r="A4" s="44" t="s">
        <v>355</v>
      </c>
      <c r="B4" s="44">
        <v>7</v>
      </c>
      <c r="C4" s="44"/>
      <c r="D4" s="44"/>
    </row>
    <row r="5" spans="1:4" ht="18">
      <c r="A5" s="44" t="s">
        <v>356</v>
      </c>
      <c r="B5" s="44" t="s">
        <v>357</v>
      </c>
      <c r="C5" s="44" t="s">
        <v>358</v>
      </c>
      <c r="D5" s="44">
        <v>0</v>
      </c>
    </row>
    <row r="6" spans="1:4" ht="18">
      <c r="A6" s="44" t="s">
        <v>359</v>
      </c>
      <c r="B6" s="44" t="s">
        <v>360</v>
      </c>
      <c r="C6" s="44" t="s">
        <v>361</v>
      </c>
      <c r="D6" s="44">
        <v>25</v>
      </c>
    </row>
    <row r="7" spans="1:4" ht="18">
      <c r="A7" s="44" t="s">
        <v>362</v>
      </c>
      <c r="B7" s="44" t="s">
        <v>363</v>
      </c>
      <c r="C7" s="44" t="s">
        <v>364</v>
      </c>
      <c r="D7" s="44">
        <v>0</v>
      </c>
    </row>
    <row r="8" spans="1:4" ht="18">
      <c r="A8" s="44" t="s">
        <v>365</v>
      </c>
      <c r="B8" s="44" t="s">
        <v>363</v>
      </c>
      <c r="C8" s="44" t="s">
        <v>366</v>
      </c>
      <c r="D8" s="44">
        <v>0</v>
      </c>
    </row>
    <row r="9" spans="1:4" ht="18">
      <c r="A9" s="44" t="s">
        <v>367</v>
      </c>
      <c r="B9" s="44" t="s">
        <v>363</v>
      </c>
      <c r="C9" s="44" t="s">
        <v>368</v>
      </c>
      <c r="D9" s="44">
        <v>0</v>
      </c>
    </row>
    <row r="10" spans="1:4" ht="18">
      <c r="A10" s="44" t="s">
        <v>369</v>
      </c>
      <c r="B10" s="44" t="s">
        <v>370</v>
      </c>
      <c r="C10" s="44" t="s">
        <v>371</v>
      </c>
      <c r="D10" s="44">
        <v>0</v>
      </c>
    </row>
    <row r="11" spans="1:4" ht="18">
      <c r="A11" s="44" t="s">
        <v>372</v>
      </c>
      <c r="B11" s="44" t="s">
        <v>373</v>
      </c>
      <c r="C11" s="44" t="s">
        <v>374</v>
      </c>
      <c r="D11" s="44">
        <v>0</v>
      </c>
    </row>
    <row r="12" spans="1:4" ht="18">
      <c r="A12" s="44" t="s">
        <v>375</v>
      </c>
      <c r="B12" s="44" t="s">
        <v>373</v>
      </c>
      <c r="C12" s="44" t="s">
        <v>376</v>
      </c>
      <c r="D12" s="44">
        <v>0</v>
      </c>
    </row>
    <row r="13" spans="1:4" ht="18">
      <c r="A13" s="44" t="s">
        <v>377</v>
      </c>
      <c r="B13" s="44" t="s">
        <v>378</v>
      </c>
      <c r="C13" s="44" t="s">
        <v>379</v>
      </c>
      <c r="D13" s="44">
        <v>0</v>
      </c>
    </row>
    <row r="14" spans="1:4" ht="18">
      <c r="A14" s="44" t="s">
        <v>380</v>
      </c>
      <c r="B14" s="44" t="s">
        <v>363</v>
      </c>
      <c r="C14" s="44" t="s">
        <v>381</v>
      </c>
      <c r="D14" s="44">
        <v>0</v>
      </c>
    </row>
    <row r="15" spans="1:4" ht="18">
      <c r="A15" s="44" t="s">
        <v>382</v>
      </c>
      <c r="B15" s="44" t="s">
        <v>373</v>
      </c>
      <c r="C15" s="44" t="s">
        <v>383</v>
      </c>
      <c r="D15" s="44">
        <v>0</v>
      </c>
    </row>
    <row r="16" spans="1:4" ht="18">
      <c r="A16" s="44" t="s">
        <v>384</v>
      </c>
      <c r="B16" s="44" t="s">
        <v>378</v>
      </c>
      <c r="C16" s="44" t="s">
        <v>385</v>
      </c>
      <c r="D16" s="44">
        <v>0</v>
      </c>
    </row>
    <row r="17" spans="1:4" ht="18">
      <c r="A17" s="44" t="s">
        <v>386</v>
      </c>
      <c r="B17" s="44" t="s">
        <v>378</v>
      </c>
      <c r="C17" s="44" t="s">
        <v>387</v>
      </c>
      <c r="D17" s="44">
        <v>0</v>
      </c>
    </row>
    <row r="18" spans="1:4" ht="18">
      <c r="A18" s="44" t="s">
        <v>388</v>
      </c>
      <c r="B18" s="44" t="s">
        <v>373</v>
      </c>
      <c r="C18" s="44" t="s">
        <v>389</v>
      </c>
      <c r="D18" s="44">
        <v>0</v>
      </c>
    </row>
    <row r="19" spans="1:4" ht="18">
      <c r="A19" s="44" t="s">
        <v>390</v>
      </c>
      <c r="B19" s="44" t="s">
        <v>363</v>
      </c>
      <c r="C19" s="44" t="s">
        <v>391</v>
      </c>
      <c r="D19" s="44">
        <v>0</v>
      </c>
    </row>
    <row r="20" spans="1:4" ht="18">
      <c r="A20" s="44" t="s">
        <v>392</v>
      </c>
      <c r="B20" s="44" t="s">
        <v>393</v>
      </c>
      <c r="C20" s="44" t="s">
        <v>394</v>
      </c>
      <c r="D20" s="44">
        <v>0</v>
      </c>
    </row>
  </sheetData>
  <phoneticPr fontId="22"/>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
  <sheetViews>
    <sheetView workbookViewId="0"/>
  </sheetViews>
  <sheetFormatPr baseColWidth="10" defaultColWidth="8.83203125" defaultRowHeight="14"/>
  <sheetData>
    <row r="1" spans="1:4" ht="18">
      <c r="A1" s="44" t="s">
        <v>352</v>
      </c>
      <c r="B1" s="44" t="s">
        <v>225</v>
      </c>
      <c r="C1" s="44"/>
      <c r="D1" s="44"/>
    </row>
    <row r="2" spans="1:4" ht="18">
      <c r="A2" s="44" t="s">
        <v>353</v>
      </c>
      <c r="B2" s="44">
        <v>8</v>
      </c>
      <c r="C2" s="44"/>
      <c r="D2" s="44"/>
    </row>
    <row r="3" spans="1:4" ht="18">
      <c r="A3" s="44" t="s">
        <v>354</v>
      </c>
      <c r="B3" s="44">
        <v>67</v>
      </c>
      <c r="C3" s="44"/>
      <c r="D3" s="44"/>
    </row>
    <row r="4" spans="1:4" ht="18">
      <c r="A4" s="44" t="s">
        <v>355</v>
      </c>
      <c r="B4" s="44">
        <v>6</v>
      </c>
      <c r="C4" s="44"/>
      <c r="D4" s="44"/>
    </row>
    <row r="5" spans="1:4" ht="18">
      <c r="A5" s="44" t="s">
        <v>356</v>
      </c>
      <c r="B5" s="44" t="s">
        <v>357</v>
      </c>
      <c r="C5" s="44" t="s">
        <v>358</v>
      </c>
      <c r="D5" s="44">
        <v>0</v>
      </c>
    </row>
    <row r="6" spans="1:4" ht="18">
      <c r="A6" s="44" t="s">
        <v>359</v>
      </c>
      <c r="B6" s="44" t="s">
        <v>360</v>
      </c>
      <c r="C6" s="44" t="s">
        <v>395</v>
      </c>
      <c r="D6" s="44">
        <v>25</v>
      </c>
    </row>
    <row r="7" spans="1:4" ht="18">
      <c r="A7" s="44" t="s">
        <v>362</v>
      </c>
      <c r="B7" s="44" t="s">
        <v>363</v>
      </c>
      <c r="C7" s="44" t="s">
        <v>364</v>
      </c>
      <c r="D7" s="44">
        <v>0</v>
      </c>
    </row>
    <row r="8" spans="1:4" ht="18">
      <c r="A8" s="44" t="s">
        <v>365</v>
      </c>
      <c r="B8" s="44" t="s">
        <v>370</v>
      </c>
      <c r="C8" s="44" t="s">
        <v>371</v>
      </c>
      <c r="D8" s="44">
        <v>0</v>
      </c>
    </row>
    <row r="9" spans="1:4" ht="18">
      <c r="A9" s="44" t="s">
        <v>396</v>
      </c>
      <c r="B9" s="44" t="s">
        <v>363</v>
      </c>
      <c r="C9" s="44" t="s">
        <v>397</v>
      </c>
      <c r="D9" s="44">
        <v>0</v>
      </c>
    </row>
  </sheetData>
  <phoneticPr fontId="2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29</vt:i4>
      </vt:variant>
    </vt:vector>
  </HeadingPairs>
  <TitlesOfParts>
    <vt:vector size="37" baseType="lpstr">
      <vt:lpstr>はじめにお読みください（記入要領）</vt:lpstr>
      <vt:lpstr>提出チェック・添付・返送</vt:lpstr>
      <vt:lpstr>⓪ 事業所設定</vt:lpstr>
      <vt:lpstr>① 従業員情報（本人）</vt:lpstr>
      <vt:lpstr>② 被扶養者情報</vt:lpstr>
      <vt:lpstr>_マスタ（非表示）</vt:lpstr>
      <vt:lpstr>_制御（非表示）</vt:lpstr>
      <vt:lpstr>_制御②（非表示）</vt:lpstr>
      <vt:lpstr>m_ありなし</vt:lpstr>
      <vt:lpstr>m_なしあり</vt:lpstr>
      <vt:lpstr>m_学生区分</vt:lpstr>
      <vt:lpstr>m_健保種類</vt:lpstr>
      <vt:lpstr>m_現物給与種類</vt:lpstr>
      <vt:lpstr>m_雇用形態</vt:lpstr>
      <vt:lpstr>m_後日提出</vt:lpstr>
      <vt:lpstr>m_更新見込み</vt:lpstr>
      <vt:lpstr>m_国籍</vt:lpstr>
      <vt:lpstr>m_資格確認書</vt:lpstr>
      <vt:lpstr>m_職種</vt:lpstr>
      <vt:lpstr>m_性別</vt:lpstr>
      <vt:lpstr>m_前職雇保</vt:lpstr>
      <vt:lpstr>m_続柄</vt:lpstr>
      <vt:lpstr>m_第3号</vt:lpstr>
      <vt:lpstr>m_賃金形態</vt:lpstr>
      <vt:lpstr>m_都道府県</vt:lpstr>
      <vt:lpstr>m_同居別居</vt:lpstr>
      <vt:lpstr>m_任意申出</vt:lpstr>
      <vt:lpstr>m_番号提出状態</vt:lpstr>
      <vt:lpstr>'⓪ 事業所設定'!Print_Titles</vt:lpstr>
      <vt:lpstr>'① 従業員情報（本人）'!Print_Titles</vt:lpstr>
      <vt:lpstr>'② 被扶養者情報'!Print_Titles</vt:lpstr>
      <vt:lpstr>企業規模区分</vt:lpstr>
      <vt:lpstr>厚年被保険者数</vt:lpstr>
      <vt:lpstr>正社員月所定</vt:lpstr>
      <vt:lpstr>正社員週所定</vt:lpstr>
      <vt:lpstr>短時間適用</vt:lpstr>
      <vt:lpstr>判定基準日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近藤 昭宏</cp:lastModifiedBy>
  <dcterms:created xsi:type="dcterms:W3CDTF">2026-07-04T00:07:30Z</dcterms:created>
  <dcterms:modified xsi:type="dcterms:W3CDTF">2026-09-11T07:15:01Z</dcterms:modified>
</cp:coreProperties>
</file>