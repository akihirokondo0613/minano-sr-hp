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はじめにお読みください（記入要領）" sheetId="1" state="visible" r:id="rId1"/>
    <sheet xmlns:r="http://schemas.openxmlformats.org/officeDocument/2006/relationships" name="提出チェック・添付・返送" sheetId="2" state="visible" r:id="rId2"/>
    <sheet xmlns:r="http://schemas.openxmlformats.org/officeDocument/2006/relationships" name="⓪ 事業所設定" sheetId="3" state="visible" r:id="rId3"/>
    <sheet xmlns:r="http://schemas.openxmlformats.org/officeDocument/2006/relationships" name="① 従業員情報（本人）" sheetId="4" state="visible" r:id="rId4"/>
    <sheet xmlns:r="http://schemas.openxmlformats.org/officeDocument/2006/relationships" name="② 被扶養者情報" sheetId="5" state="visible" r:id="rId5"/>
    <sheet xmlns:r="http://schemas.openxmlformats.org/officeDocument/2006/relationships" name="_マスタ（非表示）" sheetId="6" state="hidden" r:id="rId6"/>
    <sheet xmlns:r="http://schemas.openxmlformats.org/officeDocument/2006/relationships" name="_制御（非表示）" sheetId="7" state="hidden" r:id="rId7"/>
    <sheet xmlns:r="http://schemas.openxmlformats.org/officeDocument/2006/relationships" name="_制御②（非表示）" sheetId="8" state="hidden" r:id="rId8"/>
  </sheets>
  <definedNames>
    <definedName name="m_性別">'_マスタ（非表示）'!$A$2:$A$3</definedName>
    <definedName name="m_雇用形態">'_マスタ（非表示）'!$B$2:$B$7</definedName>
    <definedName name="m_賃金形態">'_マスタ（非表示）'!$C$2:$C$6</definedName>
    <definedName name="m_更新見込み">'_マスタ（非表示）'!$D$2:$D$4</definedName>
    <definedName name="m_後日提出">'_マスタ（非表示）'!$E$2:$E$2</definedName>
    <definedName name="m_番号提出状態">'_マスタ（非表示）'!$F$2:$F$3</definedName>
    <definedName name="m_ありなし">'_マスタ（非表示）'!$G$2:$G$3</definedName>
    <definedName name="m_なしあり">'_マスタ（非表示）'!$H$2:$H$3</definedName>
    <definedName name="m_学生区分">'_マスタ（非表示）'!$I$2:$I$4</definedName>
    <definedName name="m_前職雇保">'_マスタ（非表示）'!$J$2:$J$4</definedName>
    <definedName name="m_健保種類">'_マスタ（非表示）'!$K$2:$K$3</definedName>
    <definedName name="m_任意申出">'_マスタ（非表示）'!$L$2:$L$3</definedName>
    <definedName name="m_資格確認書">'_マスタ（非表示）'!$M$2:$M$4</definedName>
    <definedName name="m_続柄">'_マスタ（非表示）'!$N$2:$N$8</definedName>
    <definedName name="m_同居別居">'_マスタ（非表示）'!$O$2:$O$3</definedName>
    <definedName name="m_第3号">'_マスタ（非表示）'!$P$2:$P$3</definedName>
    <definedName name="m_国籍">'_マスタ（非表示）'!$Q$2:$Q$3</definedName>
    <definedName name="m_都道府県">'_マスタ（非表示）'!$R$2:$R$48</definedName>
    <definedName name="厚年被保険者数">'⓪ 事業所設定'!$C$9</definedName>
    <definedName name="企業規模区分">'⓪ 事業所設定'!$C$10</definedName>
    <definedName name="短時間適用">'⓪ 事業所設定'!$C$12</definedName>
    <definedName name="正社員週所定">'⓪ 事業所設定'!$C$13</definedName>
    <definedName name="正社員月所定">'⓪ 事業所設定'!$C$14</definedName>
    <definedName name="判定基準日">'⓪ 事業所設定'!$C$17</definedName>
    <definedName name="m_職種">'_マスタ（非表示）'!$S$2:$S$13</definedName>
    <definedName name="m_現物給与種類">'_マスタ（非表示）'!$T$2:$T$6</definedName>
    <definedName name="_xlnm.Print_Titles" localSheetId="2">'⓪ 事業所設定'!$1:$5</definedName>
    <definedName name="_xlnm.Print_Titles" localSheetId="3">'① 従業員情報（本人）'!$1:$7</definedName>
    <definedName name="_xlnm.Print_Titles" localSheetId="4">'② 被扶養者情報'!$1:$6</definedName>
  </definedNames>
  <calcPr calcId="124519" fullCalcOnLoad="1"/>
</workbook>
</file>

<file path=xl/styles.xml><?xml version="1.0" encoding="utf-8"?>
<styleSheet xmlns="http://schemas.openxmlformats.org/spreadsheetml/2006/main">
  <numFmts count="5">
    <numFmt numFmtId="164" formatCode="yyyy/mm/dd"/>
    <numFmt numFmtId="165" formatCode="0&quot;件&quot;"/>
    <numFmt numFmtId="166" formatCode="0.0"/>
    <numFmt numFmtId="167" formatCode="0&quot;名&quot;"/>
    <numFmt numFmtId="168" formatCode="#,##0&quot;円&quot;"/>
  </numFmts>
  <fonts count="22">
    <font>
      <name val="Calibri"/>
      <family val="2"/>
      <color theme="1"/>
      <sz val="11"/>
      <scheme val="minor"/>
    </font>
    <font>
      <name val="游ゴシック"/>
      <b val="1"/>
      <color rgb="00FFFFFF"/>
      <sz val="11"/>
    </font>
    <font>
      <name val="游ゴシック"/>
      <color rgb="00000000"/>
      <sz val="11"/>
    </font>
    <font>
      <name val="游ゴシック"/>
      <b val="1"/>
      <color rgb="001F4E79"/>
      <sz val="16"/>
    </font>
    <font>
      <name val="游ゴシック"/>
      <color rgb="00555555"/>
      <sz val="10"/>
    </font>
    <font>
      <name val="游ゴシック"/>
      <color rgb="007F6000"/>
      <sz val="11"/>
    </font>
    <font>
      <name val="游ゴシック"/>
      <b val="1"/>
      <color rgb="00000000"/>
      <sz val="11"/>
    </font>
    <font>
      <name val="游ゴシック"/>
      <color rgb="00555555"/>
      <sz val="12"/>
    </font>
    <font>
      <name val="游ゴシック"/>
      <b val="1"/>
      <color rgb="00C00000"/>
      <sz val="10"/>
    </font>
    <font>
      <name val="游ゴシック"/>
      <b val="1"/>
      <color rgb="001F4E79"/>
      <sz val="10"/>
    </font>
    <font>
      <name val="游ゴシック"/>
      <b val="1"/>
      <color rgb="00000000"/>
      <sz val="14"/>
    </font>
    <font>
      <name val="游ゴシック"/>
      <b val="1"/>
      <color rgb="001F3864"/>
      <sz val="10"/>
    </font>
    <font>
      <name val="游ゴシック"/>
      <b val="1"/>
      <color rgb="00000000"/>
      <sz val="10"/>
    </font>
    <font>
      <name val="游ゴシック"/>
      <b val="1"/>
      <i val="1"/>
      <color rgb="002E75B6"/>
      <sz val="11"/>
    </font>
    <font>
      <name val="游ゴシック"/>
      <i val="1"/>
      <color rgb="00000000"/>
      <sz val="11"/>
    </font>
    <font>
      <name val="游ゴシック"/>
      <b val="1"/>
      <color rgb="00000000"/>
      <sz val="13"/>
    </font>
    <font>
      <name val="游ゴシック"/>
      <b val="1"/>
      <color rgb="001F4E79"/>
      <sz val="18"/>
    </font>
    <font>
      <name val="游ゴシック"/>
      <b val="1"/>
      <color rgb="00555555"/>
      <sz val="12"/>
    </font>
    <font>
      <name val="游ゴシック"/>
      <b val="1"/>
      <color rgb="00FFFFFF"/>
      <sz val="12"/>
    </font>
    <font>
      <name val="游ゴシック"/>
      <color rgb="00000000"/>
      <sz val="10"/>
    </font>
    <font>
      <name val="游ゴシック"/>
      <color rgb="00555555"/>
      <sz val="11"/>
    </font>
    <font>
      <name val="游ゴシック"/>
      <b val="1"/>
      <color rgb="001F3864"/>
      <sz val="11"/>
    </font>
  </fonts>
  <fills count="20">
    <fill>
      <patternFill/>
    </fill>
    <fill>
      <patternFill patternType="gray125"/>
    </fill>
    <fill>
      <patternFill patternType="solid">
        <fgColor rgb="00808080"/>
      </patternFill>
    </fill>
    <fill>
      <patternFill patternType="solid">
        <fgColor rgb="00FFF8E1"/>
      </patternFill>
    </fill>
    <fill>
      <patternFill patternType="solid">
        <fgColor rgb="00FFF2CC"/>
      </patternFill>
    </fill>
    <fill>
      <patternFill patternType="solid">
        <fgColor rgb="00E7E6E6"/>
      </patternFill>
    </fill>
    <fill>
      <patternFill patternType="solid">
        <fgColor rgb="00D9D9D9"/>
      </patternFill>
    </fill>
    <fill>
      <patternFill patternType="solid">
        <fgColor rgb="00EAF1FB"/>
      </patternFill>
    </fill>
    <fill>
      <patternFill patternType="solid">
        <fgColor rgb="00FFFFFF"/>
      </patternFill>
    </fill>
    <fill>
      <patternFill patternType="solid">
        <fgColor rgb="00D9E1F2"/>
      </patternFill>
    </fill>
    <fill>
      <patternFill patternType="solid">
        <fgColor rgb="00DDEBF7"/>
      </patternFill>
    </fill>
    <fill>
      <patternFill patternType="solid">
        <fgColor rgb="00E2EFDA"/>
      </patternFill>
    </fill>
    <fill>
      <patternFill patternType="solid">
        <fgColor rgb="00FCE4D6"/>
      </patternFill>
    </fill>
    <fill>
      <patternFill patternType="solid">
        <fgColor rgb="00E2F0D9"/>
      </patternFill>
    </fill>
    <fill>
      <patternFill patternType="solid">
        <fgColor rgb="00EDEDED"/>
      </patternFill>
    </fill>
    <fill>
      <patternFill patternType="solid">
        <fgColor rgb="001F4E79"/>
      </patternFill>
    </fill>
    <fill>
      <patternFill patternType="solid">
        <fgColor rgb="00FCE4E4"/>
      </patternFill>
    </fill>
    <fill>
      <patternFill patternType="solid">
        <fgColor rgb="00595959"/>
      </patternFill>
    </fill>
    <fill>
      <patternFill patternType="solid">
        <fgColor rgb="00F2F2F2"/>
      </patternFill>
    </fill>
    <fill>
      <patternFill patternType="solid">
        <fgColor rgb="00BDD7E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82">
    <xf numFmtId="0" fontId="0" fillId="0" borderId="0" pivotButton="0" quotePrefix="0" xfId="0"/>
    <xf numFmtId="0" fontId="16" fillId="0" borderId="0" pivotButton="0" quotePrefix="0" xfId="0"/>
    <xf numFmtId="0" fontId="17" fillId="0" borderId="0" pivotButton="0" quotePrefix="0" xfId="0"/>
    <xf numFmtId="0" fontId="18" fillId="15" borderId="0" applyAlignment="1" pivotButton="0" quotePrefix="0" xfId="0">
      <alignment horizontal="left" vertical="center" wrapText="1"/>
    </xf>
    <xf numFmtId="0" fontId="11" fillId="0" borderId="0" applyAlignment="1" pivotButton="0" quotePrefix="0" xfId="0">
      <alignment horizontal="left" vertical="top" wrapText="1"/>
    </xf>
    <xf numFmtId="0" fontId="19" fillId="0" borderId="0" applyAlignment="1" pivotButton="0" quotePrefix="0" xfId="0">
      <alignment horizontal="left" vertical="top" wrapText="1"/>
    </xf>
    <xf numFmtId="0" fontId="12" fillId="4" borderId="1" applyAlignment="1" pivotButton="0" quotePrefix="0" xfId="0">
      <alignment horizontal="center" vertical="center" wrapText="1"/>
    </xf>
    <xf numFmtId="0" fontId="12"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2" fillId="16" borderId="1" applyAlignment="1" pivotButton="0" quotePrefix="0" xfId="0">
      <alignment horizontal="center" vertical="center" wrapText="1"/>
    </xf>
    <xf numFmtId="0" fontId="12" fillId="12" borderId="1" applyAlignment="1" pivotButton="0" quotePrefix="0" xfId="0">
      <alignment horizontal="center" vertical="center" wrapText="1"/>
    </xf>
    <xf numFmtId="0" fontId="12" fillId="17" borderId="1" applyAlignment="1" pivotButton="0" quotePrefix="0" xfId="0">
      <alignment horizontal="center" vertical="center" wrapText="1"/>
    </xf>
    <xf numFmtId="0" fontId="12" fillId="11" borderId="1" applyAlignment="1" pivotButton="0" quotePrefix="0" xfId="0">
      <alignment horizontal="center" vertical="center" wrapText="1"/>
    </xf>
    <xf numFmtId="0" fontId="12" fillId="18" borderId="1" applyAlignment="1" pivotButton="0" quotePrefix="0" xfId="0">
      <alignment horizontal="center" vertical="center" wrapText="1"/>
    </xf>
    <xf numFmtId="0" fontId="3" fillId="0" borderId="0" pivotButton="0" quotePrefix="0" xfId="0"/>
    <xf numFmtId="0" fontId="20" fillId="3" borderId="0" applyAlignment="1" pivotButton="0" quotePrefix="0" xfId="0">
      <alignment horizontal="left" vertical="top" wrapText="1"/>
    </xf>
    <xf numFmtId="0" fontId="21" fillId="4" borderId="1" applyAlignment="1" pivotButton="0" quotePrefix="0" xfId="0">
      <alignment horizontal="left" vertical="center" wrapText="1"/>
    </xf>
    <xf numFmtId="0" fontId="2" fillId="0" borderId="1" applyAlignment="1" applyProtection="1" pivotButton="0" quotePrefix="0" xfId="0">
      <alignment horizontal="center" vertical="center" wrapText="1"/>
      <protection locked="0" hidden="0"/>
    </xf>
    <xf numFmtId="0" fontId="20" fillId="0" borderId="1" applyAlignment="1" pivotButton="0" quotePrefix="0" xfId="0">
      <alignment horizontal="left" vertical="top" wrapText="1"/>
    </xf>
    <xf numFmtId="164" fontId="2" fillId="0" borderId="1" applyAlignment="1" applyProtection="1" pivotButton="0" quotePrefix="0" xfId="0">
      <alignment horizontal="center" vertical="center" wrapText="1"/>
      <protection locked="0" hidden="0"/>
    </xf>
    <xf numFmtId="0" fontId="21" fillId="6" borderId="1" applyAlignment="1" pivotButton="0" quotePrefix="0" xfId="0">
      <alignment horizontal="left" vertical="center" wrapText="1"/>
    </xf>
    <xf numFmtId="165" fontId="2" fillId="6" borderId="1" applyAlignment="1" pivotButton="0" quotePrefix="0" xfId="0">
      <alignment horizontal="center" vertical="center" wrapText="1"/>
    </xf>
    <xf numFmtId="9" fontId="2" fillId="6" borderId="1" applyAlignment="1" pivotButton="0" quotePrefix="0" xfId="0">
      <alignment horizontal="center" vertical="center" wrapText="1"/>
    </xf>
    <xf numFmtId="0" fontId="2" fillId="6" borderId="1" applyAlignment="1" pivotButton="0" quotePrefix="0" xfId="0">
      <alignment horizontal="center" vertical="center" wrapText="1"/>
    </xf>
    <xf numFmtId="0" fontId="20" fillId="0" borderId="0" applyAlignment="1" pivotButton="0" quotePrefix="0" xfId="0">
      <alignment horizontal="left" vertical="top" wrapText="1"/>
    </xf>
    <xf numFmtId="0" fontId="6" fillId="19" borderId="1" applyAlignment="1" pivotButton="0" quotePrefix="0" xfId="0">
      <alignment horizontal="center" vertical="center" wrapText="1"/>
    </xf>
    <xf numFmtId="0" fontId="2" fillId="0" borderId="1" applyAlignment="1" pivotButton="0" quotePrefix="0" xfId="0">
      <alignment horizontal="left" vertical="top" wrapText="1"/>
    </xf>
    <xf numFmtId="0" fontId="6" fillId="8" borderId="1" applyAlignment="1" applyProtection="1" pivotButton="0" quotePrefix="0" xfId="0">
      <alignment horizontal="left" vertical="top" wrapText="1"/>
      <protection locked="0" hidden="0"/>
    </xf>
    <xf numFmtId="0" fontId="2" fillId="8" borderId="1" applyAlignment="1" applyProtection="1" pivotButton="0" quotePrefix="0" xfId="0">
      <alignment horizontal="left" vertical="top" wrapText="1"/>
      <protection locked="0" hidden="0"/>
    </xf>
    <xf numFmtId="0" fontId="4" fillId="0" borderId="0" pivotButton="0" quotePrefix="0" xfId="0"/>
    <xf numFmtId="0" fontId="5" fillId="3" borderId="0" applyAlignment="1" pivotButton="0" quotePrefix="0" xfId="0">
      <alignment horizontal="left" vertical="top" wrapText="1"/>
    </xf>
    <xf numFmtId="0" fontId="6" fillId="4" borderId="1" applyAlignment="1" pivotButton="0" quotePrefix="0" xfId="0">
      <alignment horizontal="left" vertical="center" wrapText="1"/>
    </xf>
    <xf numFmtId="0" fontId="2" fillId="0" borderId="1" applyAlignment="1" applyProtection="1" pivotButton="0" quotePrefix="0" xfId="0">
      <alignment horizontal="left" vertical="center" wrapText="1"/>
      <protection locked="0" hidden="0"/>
    </xf>
    <xf numFmtId="0" fontId="7" fillId="0" borderId="1" applyAlignment="1" pivotButton="0" quotePrefix="0" xfId="0">
      <alignment horizontal="left" vertical="top" wrapText="1"/>
    </xf>
    <xf numFmtId="0" fontId="2" fillId="5" borderId="1" applyAlignment="1" pivotButton="0" quotePrefix="0" xfId="0">
      <alignment horizontal="left" vertical="center" wrapText="1"/>
    </xf>
    <xf numFmtId="49" fontId="2" fillId="0" borderId="1" applyAlignment="1" applyProtection="1" pivotButton="0" quotePrefix="0" xfId="0">
      <alignment horizontal="left" vertical="center" wrapText="1"/>
      <protection locked="0" hidden="0"/>
    </xf>
    <xf numFmtId="0" fontId="2" fillId="6" borderId="1" applyAlignment="1" pivotButton="0" quotePrefix="0" xfId="0">
      <alignment horizontal="left" vertical="center" wrapText="1"/>
    </xf>
    <xf numFmtId="166" fontId="2" fillId="6" borderId="1" applyAlignment="1" pivotButton="0" quotePrefix="0" xfId="0">
      <alignment horizontal="left" vertical="center" wrapText="1"/>
    </xf>
    <xf numFmtId="164" fontId="2" fillId="0" borderId="1" applyAlignment="1" applyProtection="1" pivotButton="0" quotePrefix="0" xfId="0">
      <alignment horizontal="left" vertical="center" wrapText="1"/>
      <protection locked="0" hidden="0"/>
    </xf>
    <xf numFmtId="0" fontId="8" fillId="0" borderId="0" applyAlignment="1" pivotButton="0" quotePrefix="0" xfId="0">
      <alignment horizontal="left" vertical="center" wrapText="1"/>
    </xf>
    <xf numFmtId="0" fontId="0" fillId="7" borderId="0" pivotButton="0" quotePrefix="0" xfId="0"/>
    <xf numFmtId="0" fontId="9" fillId="7" borderId="0" applyAlignment="1" pivotButton="0" quotePrefix="0" xfId="0">
      <alignment horizontal="center" vertical="center" wrapText="1"/>
    </xf>
    <xf numFmtId="167" fontId="10" fillId="8" borderId="1" applyAlignment="1" pivotButton="0" quotePrefix="0" xfId="0">
      <alignment horizontal="center" vertical="center" wrapText="1"/>
    </xf>
    <xf numFmtId="165" fontId="10" fillId="8" borderId="1" applyAlignment="1" pivotButton="0" quotePrefix="0" xfId="0">
      <alignment horizontal="center" vertical="center" wrapText="1"/>
    </xf>
    <xf numFmtId="9" fontId="10" fillId="8" borderId="1" applyAlignment="1" pivotButton="0" quotePrefix="0" xfId="0">
      <alignment horizontal="center" vertical="center" wrapText="1"/>
    </xf>
    <xf numFmtId="0" fontId="6" fillId="7" borderId="0" applyAlignment="1" pivotButton="0" quotePrefix="0" xfId="0">
      <alignment horizontal="left" vertical="center" wrapText="1"/>
    </xf>
    <xf numFmtId="0" fontId="11" fillId="9" borderId="1" applyAlignment="1" pivotButton="0" quotePrefix="0" xfId="0">
      <alignment horizontal="center" vertical="center" wrapText="1"/>
    </xf>
    <xf numFmtId="0" fontId="11" fillId="10" borderId="1" applyAlignment="1" pivotButton="0" quotePrefix="0" xfId="0">
      <alignment horizontal="center" vertical="center" wrapText="1"/>
    </xf>
    <xf numFmtId="0" fontId="11" fillId="11" borderId="1" applyAlignment="1" pivotButton="0" quotePrefix="0" xfId="0">
      <alignment horizontal="center" vertical="center" wrapText="1"/>
    </xf>
    <xf numFmtId="0" fontId="11" fillId="12" borderId="1" applyAlignment="1" pivotButton="0" quotePrefix="0" xfId="0">
      <alignment horizontal="center" vertical="center" wrapText="1"/>
    </xf>
    <xf numFmtId="0" fontId="11" fillId="4" borderId="1" applyAlignment="1" pivotButton="0" quotePrefix="0" xfId="0">
      <alignment horizontal="center" vertical="center" wrapText="1"/>
    </xf>
    <xf numFmtId="0" fontId="11" fillId="13" borderId="1" applyAlignment="1" pivotButton="0" quotePrefix="0" xfId="0">
      <alignment horizontal="center" vertical="center" wrapText="1"/>
    </xf>
    <xf numFmtId="0" fontId="11" fillId="14" borderId="1" applyAlignment="1" pivotButton="0" quotePrefix="0" xfId="0">
      <alignment horizontal="center" vertical="center" wrapText="1"/>
    </xf>
    <xf numFmtId="0" fontId="13" fillId="10" borderId="1" applyAlignment="1" pivotButton="0" quotePrefix="0" xfId="0">
      <alignment horizontal="center" vertical="center" wrapText="1"/>
    </xf>
    <xf numFmtId="0" fontId="14" fillId="10" borderId="1" applyAlignment="1" pivotButton="0" quotePrefix="0" xfId="0">
      <alignment horizontal="center" vertical="center" wrapText="1"/>
    </xf>
    <xf numFmtId="164" fontId="14" fillId="10" borderId="1" applyAlignment="1" pivotButton="0" quotePrefix="0" xfId="0">
      <alignment horizontal="center" vertical="center" wrapText="1"/>
    </xf>
    <xf numFmtId="168" fontId="14" fillId="10" borderId="1" applyAlignment="1" pivotButton="0" quotePrefix="0" xfId="0">
      <alignment horizontal="center" vertical="center" wrapText="1"/>
    </xf>
    <xf numFmtId="49" fontId="14" fillId="10" borderId="1" applyAlignment="1" pivotButton="0" quotePrefix="0" xfId="0">
      <alignment horizontal="center" vertical="center" wrapText="1"/>
    </xf>
    <xf numFmtId="1" fontId="2" fillId="6" borderId="1" applyAlignment="1" pivotButton="0" quotePrefix="0" xfId="0">
      <alignment horizontal="center" vertical="center" wrapText="1"/>
    </xf>
    <xf numFmtId="3" fontId="2" fillId="0" borderId="1" applyAlignment="1" applyProtection="1" pivotButton="0" quotePrefix="0" xfId="0">
      <alignment horizontal="center" vertical="center" wrapText="1"/>
      <protection locked="0" hidden="0"/>
    </xf>
    <xf numFmtId="168" fontId="2" fillId="6" borderId="1" applyAlignment="1" pivotButton="0" quotePrefix="0" xfId="0">
      <alignment horizontal="center" vertical="center" wrapText="1"/>
    </xf>
    <xf numFmtId="49" fontId="2" fillId="0" borderId="1" applyAlignment="1" applyProtection="1" pivotButton="0" quotePrefix="0" xfId="0">
      <alignment horizontal="center" vertical="center" wrapText="1"/>
      <protection locked="0" hidden="0"/>
    </xf>
    <xf numFmtId="167" fontId="15" fillId="8" borderId="1" applyAlignment="1" pivotButton="0" quotePrefix="0" xfId="0">
      <alignment horizontal="center" vertical="center" wrapText="1"/>
    </xf>
    <xf numFmtId="165" fontId="15" fillId="8" borderId="1" applyAlignment="1" pivotButton="0" quotePrefix="0" xfId="0">
      <alignment horizontal="center" vertical="center" wrapText="1"/>
    </xf>
    <xf numFmtId="9" fontId="15" fillId="8" borderId="1" applyAlignment="1" pivotButton="0" quotePrefix="0" xfId="0">
      <alignment horizontal="center" vertical="center" wrapText="1"/>
    </xf>
    <xf numFmtId="0" fontId="1" fillId="2" borderId="0" applyAlignment="1" pivotButton="0" quotePrefix="0" xfId="0">
      <alignment horizontal="center" vertical="center" wrapText="1"/>
    </xf>
    <xf numFmtId="0" fontId="2" fillId="0" borderId="0" pivotButton="0" quotePrefix="0" xfId="0"/>
    <xf numFmtId="164" fontId="2" fillId="0" borderId="1" applyAlignment="1" applyProtection="1" pivotButton="0" quotePrefix="0" xfId="0">
      <alignment horizontal="center" vertical="center" wrapText="1"/>
      <protection locked="0" hidden="0"/>
    </xf>
    <xf numFmtId="165" fontId="2" fillId="6" borderId="1" applyAlignment="1" pivotButton="0" quotePrefix="0" xfId="0">
      <alignment horizontal="center" vertical="center" wrapText="1"/>
    </xf>
    <xf numFmtId="0" fontId="0" fillId="0" borderId="4" applyProtection="1" pivotButton="0" quotePrefix="0" xfId="0">
      <protection locked="0" hidden="0"/>
    </xf>
    <xf numFmtId="0" fontId="0" fillId="0" borderId="5" applyProtection="1" pivotButton="0" quotePrefix="0" xfId="0">
      <protection locked="0" hidden="0"/>
    </xf>
    <xf numFmtId="166" fontId="2" fillId="6" borderId="1" applyAlignment="1" pivotButton="0" quotePrefix="0" xfId="0">
      <alignment horizontal="left" vertical="center" wrapText="1"/>
    </xf>
    <xf numFmtId="164" fontId="2" fillId="0" borderId="1" applyAlignment="1" applyProtection="1" pivotButton="0" quotePrefix="0" xfId="0">
      <alignment horizontal="left" vertical="center" wrapText="1"/>
      <protection locked="0" hidden="0"/>
    </xf>
    <xf numFmtId="167" fontId="10" fillId="8" borderId="1" applyAlignment="1" pivotButton="0" quotePrefix="0" xfId="0">
      <alignment horizontal="center" vertical="center" wrapText="1"/>
    </xf>
    <xf numFmtId="0" fontId="0" fillId="0" borderId="5" pivotButton="0" quotePrefix="0" xfId="0"/>
    <xf numFmtId="165" fontId="10" fillId="8" borderId="1" applyAlignment="1" pivotButton="0" quotePrefix="0" xfId="0">
      <alignment horizontal="center" vertical="center" wrapText="1"/>
    </xf>
    <xf numFmtId="0" fontId="0" fillId="0" borderId="4" pivotButton="0" quotePrefix="0" xfId="0"/>
    <xf numFmtId="164" fontId="14" fillId="10" borderId="1" applyAlignment="1" pivotButton="0" quotePrefix="0" xfId="0">
      <alignment horizontal="center" vertical="center" wrapText="1"/>
    </xf>
    <xf numFmtId="168" fontId="14" fillId="10" borderId="1" applyAlignment="1" pivotButton="0" quotePrefix="0" xfId="0">
      <alignment horizontal="center" vertical="center" wrapText="1"/>
    </xf>
    <xf numFmtId="168" fontId="2" fillId="6" borderId="1" applyAlignment="1" pivotButton="0" quotePrefix="0" xfId="0">
      <alignment horizontal="center" vertical="center" wrapText="1"/>
    </xf>
    <xf numFmtId="167" fontId="15" fillId="8" borderId="1" applyAlignment="1" pivotButton="0" quotePrefix="0" xfId="0">
      <alignment horizontal="center" vertical="center" wrapText="1"/>
    </xf>
    <xf numFmtId="165" fontId="15" fillId="8" borderId="1" applyAlignment="1" pivotButton="0" quotePrefix="0" xfId="0">
      <alignment horizontal="center" vertical="center" wrapText="1"/>
    </xf>
  </cellXfs>
  <cellStyles count="1">
    <cellStyle name="Normal" xfId="0" builtinId="0" hidden="0"/>
  </cellStyles>
  <dxfs count="5">
    <dxf>
      <fill>
        <patternFill patternType="solid">
          <fgColor rgb="00E2EFDA"/>
          <bgColor rgb="00E2EFDA"/>
        </patternFill>
      </fill>
    </dxf>
    <dxf>
      <fill>
        <patternFill patternType="solid">
          <fgColor rgb="00FCE4D6"/>
          <bgColor rgb="00FCE4D6"/>
        </patternFill>
      </fill>
    </dxf>
    <dxf>
      <fill>
        <patternFill patternType="solid">
          <fgColor rgb="00FCE4E4"/>
          <bgColor rgb="00FCE4E4"/>
        </patternFill>
      </fill>
    </dxf>
    <dxf>
      <fill>
        <patternFill patternType="darkUp">
          <fgColor rgb="00808080"/>
          <bgColor rgb="00595959"/>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社労士フォーム</author>
    <author>点検</author>
  </authors>
  <commentList>
    <comment ref="A7" authorId="0" shapeId="0">
      <text>
        <t>用途：このフォーム内で本人と被扶養者を紐付ける一時番号（自動）。台帳の従業員IDは事務所側で採番します。</t>
      </text>
    </comment>
    <comment ref="B7" authorId="0" shapeId="0">
      <text>
        <t>用途：資格取得届の被保険者氏名。届出の本人特定。</t>
      </text>
    </comment>
    <comment ref="C7" authorId="0" shapeId="0">
      <text>
        <t>用途：届出のフリガナ欄（全角カタカナ）。</t>
      </text>
    </comment>
    <comment ref="D7" authorId="0" shapeId="0">
      <text>
        <t>用途：資格取得届の性別。</t>
      </text>
    </comment>
    <comment ref="E7" authorId="0" shapeId="0">
      <text>
        <t>用途：資格取得届の生年月日。社保・雇保の加入判定（年齢）にも使用。</t>
      </text>
    </comment>
    <comment ref="F7" authorId="0" shapeId="0">
      <text>
        <t>用途：入社日時点の年齢（自動）。70歳/75歳の社保の取扱い判定に使用。</t>
      </text>
    </comment>
    <comment ref="G7" authorId="0" shapeId="0">
      <text>
        <t>用途：資格取得日（＝入社日）。社保・雇保の資格取得届の取得年月日。</t>
      </text>
    </comment>
    <comment ref="H7" authorId="0" shapeId="0">
      <text>
        <t>用途：雇用形態。社保・雇保の加入判定の前提。</t>
      </text>
    </comment>
    <comment ref="I7" authorId="0" shapeId="0">
      <text>
        <t>用途：雇用期間の定め。社保の2か月要件・雇保の31日要件の判定に使用。</t>
      </text>
    </comment>
    <comment ref="J7" authorId="0" shapeId="0">
      <text>
        <t>用途：契約満了日。雇用見込み期間の判定に使用。</t>
      </text>
    </comment>
    <comment ref="K7" authorId="0" shapeId="0">
      <text>
        <t>用途：契約更新の見込み。社保・雇保の加入見込みの判定に使用。</t>
      </text>
    </comment>
    <comment ref="L7" authorId="0" shapeId="0">
      <text>
        <t>用途：週の所定労働時間。4分の3基準・短時間（週20h）要件の判定。</t>
      </text>
    </comment>
    <comment ref="M7" authorId="0" shapeId="0">
      <text>
        <t>用途：月の所定労働日数。4分の3基準の判定。</t>
      </text>
    </comment>
    <comment ref="N7" authorId="0" shapeId="0">
      <text>
        <t>用途：学生区分。雇用保険の適用除外（昼間学生）の判定。</t>
      </text>
    </comment>
    <comment ref="O7" authorId="0" shapeId="0">
      <text>
        <t>用途：2か月超の雇用見込み（自動）。社保の2か月要件の判定。</t>
      </text>
    </comment>
    <comment ref="P7" authorId="0" shapeId="0">
      <text>
        <t>用途：31日以上の雇用見込み（自動）。雇用保険の31日要件の判定。</t>
      </text>
    </comment>
    <comment ref="Q7" authorId="0" shapeId="0">
      <text>
        <t>用途：賃金形態。雇保の賃金欄・社保の報酬月額の扱いの前提。</t>
      </text>
    </comment>
    <comment ref="R7" authorId="0" shapeId="0">
      <text>
        <t>用途：時給・日給の単価。月額換算の参考。</t>
      </text>
    </comment>
    <comment ref="S7" authorId="0" shapeId="0">
      <text>
        <t>用途：基本給（月額）。社保の報酬月額・8.8万円要件の判定。</t>
      </text>
    </comment>
    <comment ref="T7" authorId="0" shapeId="0">
      <text>
        <t>用途：固定手当（月額）。社保の報酬月額に算入します。うち家族手当・精皆勤手当は右の『うち家族手当・精皆勤手当』欄にも金額をご記入ください（8.8万円要件の判定から差し引きます）。</t>
      </text>
    </comment>
    <comment ref="U7" authorId="0" shapeId="0">
      <text>
        <t>用途：通勤手当（1か月相当）。社保の報酬月額に算入。</t>
      </text>
    </comment>
    <comment ref="V7" authorId="0" shapeId="0">
      <text>
        <t>用途：現物給与（月額相当）。社保の報酬月額に算入。</t>
      </text>
    </comment>
    <comment ref="W7" authorId="0" shapeId="0">
      <text>
        <t>用途：報酬月額の合計（自動）。社保の標準報酬の目安。</t>
      </text>
    </comment>
    <comment ref="X7" authorId="0" shapeId="0">
      <text>
        <t>用途：健保・厚年の加入判定（目安・自動）。最終判断は社労士。</t>
      </text>
    </comment>
    <comment ref="Y7" authorId="0" shapeId="0">
      <text>
        <t>用途：年齢に伴う注記（70歳以上被用者・後期高齢者 等。自動）。</t>
      </text>
    </comment>
    <comment ref="Z7" authorId="0" shapeId="0">
      <text>
        <t>用途：雇用保険の加入判定（目安・自動）。</t>
      </text>
    </comment>
    <comment ref="AA7" authorId="0" shapeId="0">
      <text>
        <t>用途：資格取得届のマイナンバー欄。フォームに直接入れない運用では別経路提出の状態管理に使う。</t>
      </text>
    </comment>
    <comment ref="AB7" authorId="0" shapeId="0">
      <text>
        <t>用途：厚生年金の基礎年金番号欄（マイナンバーがあれば省略可）。</t>
      </text>
    </comment>
    <comment ref="AC7" authorId="0" shapeId="0">
      <text>
        <t>用途：前職での雇用保険加入の有無。被保険者番号の要否・前職照会の判断。</t>
      </text>
    </comment>
    <comment ref="AD7" authorId="0" shapeId="0">
      <text>
        <t>用途：雇用保険の被保険者番号欄。前職で加入していれば前職の番号を引き継ぐ。</t>
      </text>
    </comment>
    <comment ref="AE7" authorId="0" shapeId="0">
      <text>
        <t>用途：雇保番号が一度割り当て済みだが不明のとき、ハローワークが番号を照会するための前職事業所名。</t>
      </text>
    </comment>
    <comment ref="AF7" authorId="0" shapeId="0">
      <text>
        <t>用途：前職の退職年月日。番号照会の手がかり。</t>
      </text>
    </comment>
    <comment ref="AG7" authorId="0" shapeId="0">
      <text>
        <t>用途：本人住所（郵便番号）。各届出・通知の送付先。</t>
      </text>
    </comment>
    <comment ref="AH7" authorId="0" shapeId="0">
      <text>
        <t>用途：本人住所の都道府県。</t>
      </text>
    </comment>
    <comment ref="AI7" authorId="0" shapeId="0">
      <text>
        <t>用途：本人住所の市区町村以下。</t>
      </text>
    </comment>
    <comment ref="AJ7" authorId="0" shapeId="0">
      <text>
        <t>用途：本人住所の建物・部屋。</t>
      </text>
    </comment>
    <comment ref="AK7" authorId="0" shapeId="0">
      <text>
        <t>用途：本人連絡先。確認の連絡用。</t>
      </text>
    </comment>
    <comment ref="AL7" authorId="0" shapeId="0">
      <text>
        <t>用途：国籍。外国籍は資格取得届の在留資格等の記載が必要。</t>
      </text>
    </comment>
    <comment ref="AM7" authorId="0" shapeId="0">
      <text>
        <t>用途：在留資格（外国籍）。資格取得届の備考・国籍欄。</t>
      </text>
    </comment>
    <comment ref="AN7" authorId="0" shapeId="0">
      <text>
        <t>用途：在留期間満了日（外国籍）。</t>
      </text>
    </comment>
    <comment ref="AO7" authorId="0" shapeId="0">
      <text>
        <t>用途：ローマ字氏名（外国籍）。資格取得届のローマ字氏名欄。</t>
      </text>
    </comment>
    <comment ref="AP7" authorId="0" shapeId="0">
      <text>
        <t>用途：資格確認書の発行要否（マイナ保険証の登録状況）。</t>
      </text>
    </comment>
    <comment ref="AQ7" authorId="0" shapeId="0">
      <text>
        <t>用途：被扶養者の有無。『あり』はシート②と健康保険被扶養者（異動）届。</t>
      </text>
    </comment>
    <comment ref="AR7" authorId="0" shapeId="0">
      <text>
        <t>用途：連絡事項（外字・特記など）。自由記入。</t>
      </text>
    </comment>
    <comment ref="AV7" authorId="0" shapeId="0">
      <text>
        <t>用途：雇用保険 資格取得届の職種欄。近いものを選んでください（分からないときは『分からない』で構いません）。〔区分名は提出前に現行様式で照合します〕</t>
      </text>
    </comment>
    <comment ref="AW7" authorId="0" shapeId="0">
      <text>
        <t>用途：8.8万円（賃金要件）の判定から差し引く手当。左の『固定手当』に含めた金額のうち、家族手当・精皆勤手当の分をご記入ください。〔健保法3条9項4号・要確認〕</t>
      </text>
    </comment>
    <comment ref="AX7" authorId="0" shapeId="0">
      <text>
        <t>用途：他社でも社会保険（健康保険・厚生年金）に加入しているか。『はい』のときは二以上事業所勤務届が別途必要です。</t>
      </text>
    </comment>
    <comment ref="AY7" authorId="1" shapeId="0">
      <text>
        <t>用途：報酬月額に算入する現物給与の種類。都道府県別の標準価額で算定するのが原則〔健保法46条・厚年法25条ほか、要確認〕なので、種類が分からないと金額を検算できません。</t>
      </text>
    </comment>
  </commentList>
</comments>
</file>

<file path=xl/comments/comment2.xml><?xml version="1.0" encoding="utf-8"?>
<comments xmlns="http://schemas.openxmlformats.org/spreadsheetml/2006/main">
  <authors>
    <author>社労士フォーム</author>
  </authors>
  <commentList>
    <comment ref="A6" authorId="0" shapeId="0">
      <text>
        <t>用途：どの従業員（本人）の被扶養者かを紐付ける番号（シート①のフォーム内No.）。</t>
      </text>
    </comment>
    <comment ref="B6" authorId="0" shapeId="0">
      <text>
        <t>用途：健康保険 被扶養者（異動）届の被扶養者氏名。</t>
      </text>
    </comment>
    <comment ref="C6" authorId="0" shapeId="0">
      <text>
        <t>用途：被扶養者のフリガナ（全角カタカナ）。</t>
      </text>
    </comment>
    <comment ref="D6" authorId="0" shapeId="0">
      <text>
        <t>用途：本人との続柄。扶養認定（範囲・生計維持）の判定。</t>
      </text>
    </comment>
    <comment ref="E6" authorId="0" shapeId="0">
      <text>
        <t>用途：被扶養者の生年月日。年齢による認定基準の判定。</t>
      </text>
    </comment>
    <comment ref="F6" authorId="0" shapeId="0">
      <text>
        <t>用途：被扶養者の性別。</t>
      </text>
    </comment>
    <comment ref="G6" authorId="0" shapeId="0">
      <text>
        <t>用途：被扶養者（異動）届のマイナンバー欄。別経路提出・後日提出の状態管理にも使う。</t>
      </text>
    </comment>
    <comment ref="H6" authorId="0" shapeId="0">
      <text>
        <t>用途：同居・別居。生計維持要件の判定に影響。</t>
      </text>
    </comment>
    <comment ref="I6" authorId="0" shapeId="0">
      <text>
        <t>用途：年間収入見込み。扶養認定の収入要件（130万/180万未満）の判定。</t>
      </text>
    </comment>
    <comment ref="J6" authorId="0" shapeId="0">
      <text>
        <t>用途：被扶養者の職業（収入の確認）。</t>
      </text>
    </comment>
    <comment ref="K6" authorId="0" shapeId="0">
      <text>
        <t>用途：被扶養者になった日（届出の異動年月日）。</t>
      </text>
    </comment>
    <comment ref="L6" authorId="0" shapeId="0">
      <text>
        <t>用途：国民年金 第3号被保険者の該当（配偶者）。第3号の届出要否。</t>
      </text>
    </comment>
    <comment ref="M6" authorId="0" shapeId="0">
      <text>
        <t>用途：連絡事項。自由記入。</t>
      </text>
    </comment>
    <comment ref="P6" authorId="0" shapeId="0">
      <text>
        <t>用途：別居している被扶養者の住所（生計維持・仕送りの確認）。同居の方は記入不要です。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B1:C44"/>
  <sheetViews>
    <sheetView showGridLines="0" workbookViewId="0">
      <selection activeCell="A1" sqref="A1"/>
    </sheetView>
  </sheetViews>
  <sheetFormatPr baseColWidth="8" defaultRowHeight="15"/>
  <cols>
    <col width="3" customWidth="1" min="1" max="1"/>
    <col width="26" customWidth="1" min="2" max="2"/>
    <col width="80" customWidth="1" min="3" max="3"/>
  </cols>
  <sheetData>
    <row r="1">
      <c r="B1" s="1" t="inlineStr">
        <is>
          <t>入社時 従業員情報 受領フォーム</t>
        </is>
      </c>
    </row>
    <row r="2">
      <c r="B2" s="2" t="inlineStr">
        <is>
          <t>はじめにお読みください（記入要領）</t>
        </is>
      </c>
    </row>
    <row r="4" ht="22" customHeight="1">
      <c r="B4" s="3" t="inlineStr">
        <is>
          <t>この書類について</t>
        </is>
      </c>
    </row>
    <row r="5" ht="19" customHeight="1">
      <c r="B5" s="4" t="inlineStr">
        <is>
          <t>事務所名</t>
        </is>
      </c>
      <c r="C5" s="5" t="inlineStr">
        <is>
          <t>みなの社会保険労務士事務所</t>
        </is>
      </c>
    </row>
    <row r="6" ht="19" customHeight="1">
      <c r="B6" s="4" t="inlineStr">
        <is>
          <t>お問い合わせ</t>
        </is>
      </c>
      <c r="C6" s="5" t="inlineStr">
        <is>
          <t>076-460-2562 / contact@minano-sr.com</t>
        </is>
      </c>
    </row>
    <row r="7" ht="19" customHeight="1">
      <c r="B7" s="4" t="inlineStr">
        <is>
          <t>バージョン</t>
        </is>
      </c>
      <c r="C7" s="5" t="inlineStr">
        <is>
          <t>1.0（更新日 2026-09-11）</t>
        </is>
      </c>
    </row>
    <row r="9" ht="22" customHeight="1">
      <c r="B9" s="3" t="inlineStr">
        <is>
          <t>目的</t>
        </is>
      </c>
    </row>
    <row r="10" ht="49" customHeight="1">
      <c r="C10" s="5" t="inlineStr">
        <is>
          <t>健康保険・厚生年金保険と雇用保険の資格取得手続きに必要な情報をご記入いただくフォームです。</t>
        </is>
      </c>
    </row>
    <row r="12" ht="22" customHeight="1">
      <c r="B12" s="3" t="inlineStr">
        <is>
          <t>入力の流れ（所要時間の目安：1名あたり 5〜10分）</t>
        </is>
      </c>
    </row>
    <row r="13" ht="34" customHeight="1">
      <c r="B13" s="4" t="inlineStr">
        <is>
          <t>STEP 1</t>
        </is>
      </c>
      <c r="C13" s="5" t="inlineStr">
        <is>
          <t>シート『⓪ 事業所設定』を最初に一度だけ設定します（会社全体の情報。2回目以降は不要）。</t>
        </is>
      </c>
    </row>
    <row r="14" ht="34" customHeight="1">
      <c r="B14" s="4" t="inlineStr">
        <is>
          <t>STEP 2</t>
        </is>
      </c>
      <c r="C14" s="5" t="inlineStr">
        <is>
          <t>シート『① 従業員情報（本人）』に、入社者を1行＝1名で入力します。複数名まとめて入力できます。</t>
        </is>
      </c>
    </row>
    <row r="15" ht="34" customHeight="1">
      <c r="B15" s="4" t="inlineStr">
        <is>
          <t>STEP 3</t>
        </is>
      </c>
      <c r="C15" s="5" t="inlineStr">
        <is>
          <t>被扶養者がいる方は、シート『② 被扶養者情報』にも入力します（本人の『フォーム内No.』で紐付け）。</t>
        </is>
      </c>
    </row>
    <row r="16" ht="34" customHeight="1">
      <c r="B16" s="4" t="inlineStr">
        <is>
          <t>ヒント</t>
        </is>
      </c>
      <c r="C16" s="5" t="inlineStr">
        <is>
          <t>上部の『進捗ブロック』で、未入力の残件数・完了率が自動表示されます。100%を目指してご記入ください。</t>
        </is>
      </c>
    </row>
    <row r="18" ht="22" customHeight="1">
      <c r="B18" s="3" t="inlineStr">
        <is>
          <t>色の凡例</t>
        </is>
      </c>
    </row>
    <row r="19" ht="20" customHeight="1">
      <c r="B19" s="6" t="inlineStr">
        <is>
          <t>必須項目</t>
        </is>
      </c>
      <c r="C19" s="5" t="inlineStr">
        <is>
          <t>ヘッダーが薄い黄色。必ず入力してください。</t>
        </is>
      </c>
    </row>
    <row r="20" ht="20" customHeight="1">
      <c r="B20" s="7" t="inlineStr">
        <is>
          <t>任意項目</t>
        </is>
      </c>
      <c r="C20" s="5" t="inlineStr">
        <is>
          <t>ヘッダーが薄い灰色。該当する場合に入力してください。【条件必須】と書かれた欄は、その条件に当てはまる方は必ず入力してください。</t>
        </is>
      </c>
    </row>
    <row r="21" ht="20" customHeight="1">
      <c r="B21" s="8" t="inlineStr">
        <is>
          <t>自動計算</t>
        </is>
      </c>
      <c r="C21" s="5" t="inlineStr">
        <is>
          <t>灰色。自動で計算・判定されます（上書きしないでください）。</t>
        </is>
      </c>
    </row>
    <row r="22" ht="20" customHeight="1">
      <c r="B22" s="9" t="inlineStr">
        <is>
          <t>未入力の警告</t>
        </is>
      </c>
      <c r="C22" s="5" t="inlineStr">
        <is>
          <t>必須なのに空欄のセルが薄い赤で点灯します。入力すると消えます。</t>
        </is>
      </c>
    </row>
    <row r="23" ht="20" customHeight="1">
      <c r="B23" s="10" t="inlineStr">
        <is>
          <t>形式の警告</t>
        </is>
      </c>
      <c r="C23" s="5" t="inlineStr">
        <is>
          <t>桁数・全角カナ・姓名間スペース・日付の形式が想定と違うと薄い橙で点灯します。</t>
        </is>
      </c>
    </row>
    <row r="24" ht="34" customHeight="1">
      <c r="B24" s="11" t="inlineStr">
        <is>
          <t>対象外（記入不要）</t>
        </is>
      </c>
      <c r="C24" s="5" t="inlineStr">
        <is>
          <t>暗い灰＋斜線。雇用期間の定め＝なし のときの契約満了日など、記入が不要な欄です。</t>
        </is>
      </c>
    </row>
    <row r="25" ht="20" customHeight="1">
      <c r="B25" s="12" t="inlineStr">
        <is>
          <t>問題なし</t>
        </is>
      </c>
      <c r="C25" s="5" t="inlineStr">
        <is>
          <t>薄い緑。年齢注記などで注意事項が無く、問題ないことを示します。</t>
        </is>
      </c>
    </row>
    <row r="26" ht="20" customHeight="1">
      <c r="B26" s="12" t="inlineStr">
        <is>
          <t>判定：加入</t>
        </is>
      </c>
      <c r="C26" s="5" t="inlineStr">
        <is>
          <t>加入対象の目安。薄い緑。</t>
        </is>
      </c>
    </row>
    <row r="27" ht="20" customHeight="1">
      <c r="B27" s="13" t="inlineStr">
        <is>
          <t>判定：対象外</t>
        </is>
      </c>
      <c r="C27" s="5" t="inlineStr">
        <is>
          <t>加入対象外の目安。薄い灰色。</t>
        </is>
      </c>
    </row>
    <row r="29" ht="22" customHeight="1">
      <c r="B29" s="3" t="inlineStr">
        <is>
          <t>加入判定について（重要）</t>
        </is>
      </c>
    </row>
    <row r="30" ht="64" customHeight="1">
      <c r="C30" s="5" t="inlineStr">
        <is>
          <t>『健保・厚年 加入判定』『雇用保険 加入判定』の列は、入力された勤務条件と⓪事業所設定から自動で表示される目安です。実際の加入要否の最終判断は社会保険労務士が行います。判定結果に疑問がある場合や、契約内容が変則的な場合は、そのまま当事務所へご連絡ください。</t>
        </is>
      </c>
    </row>
    <row r="32" ht="22" customHeight="1">
      <c r="B32" s="3" t="inlineStr">
        <is>
          <t>マイナンバー等 機微情報の取扱い</t>
        </is>
      </c>
    </row>
    <row r="33" ht="49" customHeight="1">
      <c r="B33" s="4" t="inlineStr">
        <is>
          <t>入力時</t>
        </is>
      </c>
      <c r="C33" s="5" t="inlineStr">
        <is>
          <t>マイナンバー（12桁）は半角数字・ハイフン無しで入力できます。会社所定の安全な経路で別提出する場合は、番号を入力せず『別経路提出』を選んでください。入社時点で未回収の場合は『後日提出』を選択します。</t>
        </is>
      </c>
    </row>
    <row r="34" ht="49" customHeight="1">
      <c r="B34" s="4" t="inlineStr">
        <is>
          <t>返送方法</t>
        </is>
      </c>
      <c r="C34" s="5" t="inlineStr">
        <is>
          <t>受任メールのリンクから案件ページを開き、記入したこのファイルをそのままお送りください。ZIPにする必要はありません。この経路は暗号化されており、メール添付より安全です。メールに直接添付して送るのは避けてください（マイナンバー等の特定個人情報を含みます）。</t>
        </is>
      </c>
    </row>
    <row r="35" ht="34" customHeight="1">
      <c r="B35" s="4" t="inlineStr">
        <is>
          <t>社内保管</t>
        </is>
      </c>
      <c r="C35" s="5" t="inlineStr">
        <is>
          <t>記入途中のファイルは関係者以外がアクセスできない場所に保管し、提出後は社内ルールに従って適切に削除・保管してください。</t>
        </is>
      </c>
    </row>
    <row r="37" ht="22" customHeight="1">
      <c r="B37" s="3" t="inlineStr">
        <is>
          <t>入社時点で情報が揃わないとき（必須項目の書き方）</t>
        </is>
      </c>
    </row>
    <row r="38" ht="34" customHeight="1">
      <c r="B38" s="4" t="inlineStr">
        <is>
          <t>本人にご確認いただく欄</t>
        </is>
      </c>
      <c r="C38" s="5" t="inlineStr">
        <is>
          <t>本人にご確認いただく欄は、当事務所の書式『入社時 本人情報記入シート』（https://minano-sr.com/shoshiki/D-52.html）を印刷してご本人に記入いただくと、そのままこのフォームに転記できます。</t>
        </is>
      </c>
    </row>
    <row r="39" ht="49" customHeight="1">
      <c r="B39" s="4" t="inlineStr">
        <is>
          <t>基本の考え方</t>
        </is>
      </c>
      <c r="C39" s="5" t="inlineStr">
        <is>
          <t>入社時点でどうしても分からない欄は、空欄のまま備考に『○○は後日提出』とご記入ください。分かり次第ご連絡いただければ当方で補います。下記は特に間違えやすい番号類の扱いです。</t>
        </is>
      </c>
    </row>
    <row r="40" ht="64" customHeight="1">
      <c r="B40" s="4" t="inlineStr">
        <is>
          <t>基礎年金番号</t>
        </is>
      </c>
      <c r="C40" s="5" t="inlineStr">
        <is>
          <t>マイナンバーをご記入いただければ、基礎年金番号は省略できます（資格取得届はマイナンバーで提出できます）。マイナンバーを別経路提出にする、または番号が不明なときは、セルのドロップダウンから『後日提出』を選んでください（未入力扱いになりません）。</t>
        </is>
      </c>
    </row>
    <row r="41" ht="34" customHeight="1">
      <c r="B41" s="4" t="inlineStr">
        <is>
          <t>雇用保険被保険者番号</t>
        </is>
      </c>
      <c r="C41" s="5" t="inlineStr">
        <is>
          <t>初めて就職する方・前職が無い方は空欄で構いません（新しく番号を取得します）。前職はあるが番号が不明なときは『後日提出』を選択してください。</t>
        </is>
      </c>
    </row>
    <row r="42" ht="34" customHeight="1">
      <c r="B42" s="4" t="inlineStr">
        <is>
          <t>2か月超／31日以上 見込み</t>
        </is>
      </c>
      <c r="C42" s="5" t="inlineStr">
        <is>
          <t>この2列は自動表示です（入力不要）。雇用期間の定め・契約満了日・更新の見込みを入れると自動で判定されます。</t>
        </is>
      </c>
    </row>
    <row r="43" ht="22" customHeight="1">
      <c r="B43" s="3" t="inlineStr">
        <is>
          <t>困ったときは</t>
        </is>
      </c>
    </row>
    <row r="44" ht="49" customHeight="1">
      <c r="C44" s="5" t="inlineStr">
        <is>
          <t>入力方法が分からない・選択肢に当てはまるものが無い・判定結果に疑問がある等、どんなことでも上記『お問い合わせ』先（076-460-2562 / contact@minano-sr.com）までお気軽にご連絡ください。</t>
        </is>
      </c>
    </row>
  </sheetData>
  <mergeCells count="8">
    <mergeCell ref="B29:C29"/>
    <mergeCell ref="B37:C37"/>
    <mergeCell ref="B32:C32"/>
    <mergeCell ref="B9:C9"/>
    <mergeCell ref="B4:C4"/>
    <mergeCell ref="B18:C18"/>
    <mergeCell ref="B43:C43"/>
    <mergeCell ref="B12:C12"/>
  </mergeCells>
  <printOptions horizontalCentered="0"/>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B1:D33"/>
  <sheetViews>
    <sheetView showGridLines="0" workbookViewId="0">
      <pane ySplit="1" topLeftCell="A2" activePane="bottomLeft" state="frozen"/>
      <selection pane="bottomLeft" activeCell="A1" sqref="A1"/>
    </sheetView>
  </sheetViews>
  <sheetFormatPr baseColWidth="8" defaultRowHeight="15"/>
  <cols>
    <col width="3" customWidth="1" min="1" max="1"/>
    <col width="30" customWidth="1" min="2" max="2"/>
    <col width="26" customWidth="1" min="3" max="3"/>
    <col width="60" customWidth="1" min="4" max="4"/>
  </cols>
  <sheetData>
    <row r="1">
      <c r="B1" s="14" t="inlineStr">
        <is>
          <t>入社時 従業員情報　提出チェック・添付・返送</t>
        </is>
      </c>
    </row>
    <row r="2" ht="37" customHeight="1">
      <c r="B2" s="15" t="inlineStr">
        <is>
          <t>このシートは貴社（ご担当者さま）が、入力 → 提出前の確認 → 当事務所への返送まで迷わず進めるための案内です。本体シートをご記入のうえ、最後にここをご確認ください。</t>
        </is>
      </c>
    </row>
    <row r="4" ht="24" customHeight="1">
      <c r="B4" s="3" t="inlineStr">
        <is>
          <t>① 提出前チェック</t>
        </is>
      </c>
    </row>
    <row r="5" ht="26" customHeight="1">
      <c r="B5" s="16" t="inlineStr">
        <is>
          <t>貴社名</t>
        </is>
      </c>
      <c r="C5" s="17" t="n"/>
      <c r="D5" s="18" t="inlineStr">
        <is>
          <t>貴社名をご記入ください。</t>
        </is>
      </c>
    </row>
    <row r="6" ht="26" customHeight="1">
      <c r="B6" s="16" t="inlineStr">
        <is>
          <t>ご入力担当者名</t>
        </is>
      </c>
      <c r="C6" s="17" t="n"/>
      <c r="D6" s="18" t="inlineStr">
        <is>
          <t>このフォームをご記入された方のお名前。</t>
        </is>
      </c>
    </row>
    <row r="7" ht="26" customHeight="1">
      <c r="B7" s="16" t="inlineStr">
        <is>
          <t>ご担当者 連絡先</t>
        </is>
      </c>
      <c r="C7" s="17" t="n"/>
      <c r="D7" s="18" t="inlineStr">
        <is>
          <t>電話番号またはメールアドレス。確認時の連絡用。</t>
        </is>
      </c>
    </row>
    <row r="8" ht="26" customHeight="1">
      <c r="B8" s="16" t="inlineStr">
        <is>
          <t>記入日</t>
        </is>
      </c>
      <c r="C8" s="67" t="n"/>
      <c r="D8" s="18" t="inlineStr">
        <is>
          <t>ご記入（最終確認）日。</t>
        </is>
      </c>
    </row>
    <row r="9" ht="26" customHeight="1">
      <c r="B9" s="20" t="inlineStr">
        <is>
          <t>対象者数（自動）</t>
        </is>
      </c>
      <c r="C9" s="68">
        <f>'① 従業員情報（本人）'!B4</f>
        <v/>
      </c>
      <c r="D9" s="18" t="inlineStr">
        <is>
          <t>本体シートに入力された件数を自動表示します。</t>
        </is>
      </c>
    </row>
    <row r="10" ht="37" customHeight="1">
      <c r="B10" s="20" t="inlineStr">
        <is>
          <t>必須の未入力 残（自動）</t>
        </is>
      </c>
      <c r="C10" s="68">
        <f>'① 従業員情報（本人）'!F4</f>
        <v/>
      </c>
      <c r="D10" s="18" t="inlineStr">
        <is>
          <t>未入力の必須項目の残数。0件になるまでご記入ください（本体の薄赤・行ステータス参照）。</t>
        </is>
      </c>
    </row>
    <row r="11" ht="26" customHeight="1">
      <c r="B11" s="20" t="inlineStr">
        <is>
          <t>完了率（自動）</t>
        </is>
      </c>
      <c r="C11" s="22">
        <f>'① 従業員情報（本人）'!L4</f>
        <v/>
      </c>
      <c r="D11" s="18" t="inlineStr">
        <is>
          <t>必須項目の充足率。</t>
        </is>
      </c>
    </row>
    <row r="12" ht="37" customHeight="1">
      <c r="B12" s="20" t="inlineStr">
        <is>
          <t>提出可否（自動）</t>
        </is>
      </c>
      <c r="C12" s="23">
        <f>IF('① 従業員情報（本人）'!B4=0,"未入力（対象者なし）",IF(AND('① 従業員情報（本人）'!F4=0,'① 従業員情報（本人）'!D4&lt;&gt;'① 従業員情報（本人）'!B4),"確認が必要：式の入っていない行があります（行を挿入せず9〜58行にご記入ください）",IF(COUNTBLANK('⓪ 事業所設定'!$C$6)+COUNTBLANK('⓪ 事業所設定'!$C$8)+COUNTBLANK('⓪ 事業所設定'!$C$9)+COUNTBLANK('⓪ 事業所設定'!$C$11)+COUNTBLANK('⓪ 事業所設定'!$C$13)+COUNTBLANK('⓪ 事業所設定'!$C$14)+COUNTBLANK('⓪ 事業所設定'!$C$17)+COUNTBLANK('⓪ 事業所設定'!$C$19)+COUNTBLANK('⓪ 事業所設定'!$C$20)+COUNTBLANK('⓪ 事業所設定'!$C$21)&gt;0,"未入力あり：⓪事業所設定をご記入ください",IF('① 従業員情報（本人）'!F4&gt;0,"未入力あり：本体シートの薄赤セル・行ステータスをご確認ください",IF('② 被扶養者情報'!E4&gt;0,"未入力あり：②被扶養者情報をご確認ください",IF(ISNUMBER(SEARCH("未入力",$C$13)),"未入力あり：被扶養者ありの方の②をご記入ください","提出可（必須の未入力なし）"))))))</f>
        <v/>
      </c>
      <c r="D12" s="18" t="inlineStr">
        <is>
          <t>⓪事業所設定・①本体・②被扶養者のすべてに必須の未入力が無ければ『提出可』。</t>
        </is>
      </c>
    </row>
    <row r="13" ht="37" customHeight="1">
      <c r="B13" s="20" t="inlineStr">
        <is>
          <t>被扶養者の突合（自動）</t>
        </is>
      </c>
      <c r="C13" s="23">
        <f>IF('① 従業員情報（本人）'!$B$4=0,"—",IF(COUNTIFS('① 従業員情報（本人）'!$B$9:$B$58,"&lt;&gt;",'① 従業員情報（本人）'!$AQ$9:$AQ$58,"あり")=SUMPRODUCT(('② 被扶養者情報'!$A$8:$A$67&lt;&gt;"")/COUNTIF('② 被扶養者情報'!$A$8:$A$67,'② 被扶養者情報'!$A$8:$A$67&amp;"")),"✓ 一致（被扶養者ありの方 "&amp;COUNTIFS('① 従業員情報（本人）'!$B$9:$B$58,"&lt;&gt;",'① 従業員情報（本人）'!$AQ$9:$AQ$58,"あり")&amp;" 名／②の対象者 "&amp;SUMPRODUCT(('② 被扶養者情報'!$A$8:$A$67&lt;&gt;"")/COUNTIF('② 被扶養者情報'!$A$8:$A$67,'② 被扶養者情報'!$A$8:$A$67&amp;""))&amp;" 名）","被扶養者ありの方の②が未入力です（①であり "&amp;COUNTIFS('① 従業員情報（本人）'!$B$9:$B$58,"&lt;&gt;",'① 従業員情報（本人）'!$AQ$9:$AQ$58,"あり")&amp;" 名／②の対象者 "&amp;SUMPRODUCT(('② 被扶養者情報'!$A$8:$A$67&lt;&gt;"")/COUNTIF('② 被扶養者情報'!$A$8:$A$67,'② 被扶養者情報'!$A$8:$A$67&amp;""))&amp;" 名）"))</f>
        <v/>
      </c>
      <c r="D13" s="18" t="inlineStr">
        <is>
          <t>①で『被扶養者の有無＝あり』の人数と、②に入力された対象者の人数を突き合わせます。</t>
        </is>
      </c>
    </row>
    <row r="14" ht="26" customHeight="1">
      <c r="B14" s="16" t="inlineStr">
        <is>
          <t>事務所への連絡事項</t>
        </is>
      </c>
      <c r="C14" s="17" t="n"/>
      <c r="D14" s="18" t="inlineStr">
        <is>
          <t>不明点・特記事項があればご記入ください（任意）。</t>
        </is>
      </c>
    </row>
    <row r="15" ht="24" customHeight="1">
      <c r="B15" s="3" t="inlineStr">
        <is>
          <t>② 一緒に送っていただく書類</t>
        </is>
      </c>
    </row>
    <row r="16" ht="20.5" customHeight="1">
      <c r="B16" s="24" t="inlineStr">
        <is>
          <t>書類の一覧と、いま何が届いているかは案件ページが正です。このシートには書類の状態を書かないでください（二重管理になります）。
案件ページは受任メールのリンクから開けます。届いた書類はその場で受領済みに変わります。</t>
        </is>
      </c>
    </row>
    <row r="17" ht="22" customHeight="1">
      <c r="B17" s="25" t="inlineStr">
        <is>
          <t>この手続きで必要になるもの</t>
        </is>
      </c>
      <c r="C17" s="25" t="n"/>
      <c r="D17" s="25" t="inlineStr">
        <is>
          <t>（案件ページの一覧が正です）</t>
        </is>
      </c>
    </row>
    <row r="18" ht="37" customHeight="1">
      <c r="B18" s="26" t="inlineStr">
        <is>
          <t>マイナンバー確認資料</t>
        </is>
      </c>
      <c r="C18" s="17" t="n"/>
      <c r="D18" s="18" t="inlineStr">
        <is>
          <t>個人番号カード・通知カード・マイナンバー記載の住民票など。フォームへ直接入力しない場合は安全な別経路で提出。</t>
        </is>
      </c>
    </row>
    <row r="19" ht="37" customHeight="1">
      <c r="B19" s="26" t="inlineStr">
        <is>
          <t>基礎年金番号がわかる資料</t>
        </is>
      </c>
      <c r="C19" s="17" t="n"/>
      <c r="D19" s="18" t="inlineStr">
        <is>
          <t>年金手帳・基礎年金番号通知書など。マイナンバーで提出する場合は省略可（不明は『後日提出』）。</t>
        </is>
      </c>
    </row>
    <row r="20" ht="37" customHeight="1">
      <c r="B20" s="26" t="inlineStr">
        <is>
          <t>雇用保険被保険者番号がわかる資料</t>
        </is>
      </c>
      <c r="C20" s="17" t="n"/>
      <c r="D20" s="18" t="inlineStr">
        <is>
          <t>前職の離職票・雇用保険被保険者証。新卒・前職なしは新規取得（『該当なし』）。</t>
        </is>
      </c>
    </row>
    <row r="21" ht="37" customHeight="1">
      <c r="B21" s="26" t="inlineStr">
        <is>
          <t>扶養に入れる家族の確認資料（被扶養者がいる場合）</t>
        </is>
      </c>
      <c r="C21" s="17" t="n"/>
      <c r="D21" s="18" t="inlineStr">
        <is>
          <t>続柄・収入のわかる資料。被扶養者シート②もご記入ください。</t>
        </is>
      </c>
    </row>
    <row r="22" ht="24" customHeight="1">
      <c r="B22" s="26" t="inlineStr">
        <is>
          <t>在留カード（外国籍の場合）</t>
        </is>
      </c>
      <c r="C22" s="17" t="n"/>
      <c r="D22" s="18" t="inlineStr">
        <is>
          <t>在留資格・在留期間の確認に使用。</t>
        </is>
      </c>
    </row>
    <row r="23" ht="37" customHeight="1">
      <c r="B23" s="26" t="inlineStr">
        <is>
          <t>給与振込口座の資料（口座情報が必要な運用の場合）</t>
        </is>
      </c>
      <c r="C23" s="17" t="n"/>
      <c r="D23" s="18" t="inlineStr">
        <is>
          <t>貴社の運用で必要な場合のみ。</t>
        </is>
      </c>
    </row>
    <row r="25" ht="24" customHeight="1">
      <c r="B25" s="3" t="inlineStr">
        <is>
          <t>③ 当事務所への返送について</t>
        </is>
      </c>
    </row>
    <row r="26" ht="53.5" customHeight="1">
      <c r="B26" s="24" t="inlineStr">
        <is>
          <t>【ご返送方法】　記入したこのファイルを、案件ページからそのままお送りください。ZIPにする必要はありません。ファイル名も変えなくて構いません。
　案件ページ＝受任メールのリンクから開けます。この経路は暗号化されており、メール添付より安全です。
　メールに直接添付して送るのは避けてください（マイナンバー等の特定個人情報を含みます）。</t>
        </is>
      </c>
    </row>
    <row r="27" ht="53.5" customHeight="1">
      <c r="B27" s="15" t="n"/>
    </row>
    <row r="28" ht="20.5" customHeight="1">
      <c r="B28" s="24" t="n"/>
    </row>
    <row r="29" ht="22" customHeight="1">
      <c r="B29" s="27" t="n"/>
      <c r="C29" s="69" t="n"/>
      <c r="D29" s="70" t="n"/>
    </row>
    <row r="30" ht="218.5" customHeight="1">
      <c r="B30" s="28" t="n"/>
      <c r="C30" s="69" t="n"/>
      <c r="D30" s="70" t="n"/>
    </row>
    <row r="32" ht="24" customHeight="1">
      <c r="B32" s="3" t="inlineStr">
        <is>
          <t>④ 入力の補足（情報が揃わないとき）</t>
        </is>
      </c>
    </row>
    <row r="33" ht="53.5" customHeight="1">
      <c r="B33" s="24" t="inlineStr">
        <is>
          <t>・『不明』『後日提出』を選べる欄は、空欄のままにせず状態を残してください。後で当事務所が確認・督促できます。
・該当しない欄は『該当なし』を選ぶか空欄で構いません（条件次第で対象外＝斜線になる欄もあります）。
・色の意味：薄黄＝必須／薄青＝当事務所が補完／薄赤＝必須の未入力／薄橙＝形式の確認／斜線＝記入不要。</t>
        </is>
      </c>
    </row>
  </sheetData>
  <mergeCells count="13">
    <mergeCell ref="B33:D33"/>
    <mergeCell ref="B28:D28"/>
    <mergeCell ref="B29:D29"/>
    <mergeCell ref="B1:D1"/>
    <mergeCell ref="B32:D32"/>
    <mergeCell ref="B4:D4"/>
    <mergeCell ref="B26:D26"/>
    <mergeCell ref="B27:D27"/>
    <mergeCell ref="B2:D2"/>
    <mergeCell ref="B30:D30"/>
    <mergeCell ref="B15:D15"/>
    <mergeCell ref="B25:D25"/>
    <mergeCell ref="B16:D16"/>
  </mergeCells>
  <conditionalFormatting sqref="C12">
    <cfRule type="expression" priority="1" dxfId="0" stopIfTrue="1">
      <formula>ISNUMBER(SEARCH("提出可",C12))</formula>
    </cfRule>
    <cfRule type="expression" priority="2" dxfId="1" stopIfTrue="1">
      <formula>AND(ISNUMBER(SEARCH("未入力",C12)),ISERROR(SEARCH("提出可",C12)))</formula>
    </cfRule>
  </conditionalFormatting>
  <conditionalFormatting sqref="C10">
    <cfRule type="expression" priority="3" dxfId="1" stopIfTrue="1">
      <formula>C10&gt;0</formula>
    </cfRule>
  </conditionalFormatting>
  <conditionalFormatting sqref="C13">
    <cfRule type="expression" priority="16" dxfId="0" stopIfTrue="1">
      <formula>ISNUMBER(SEARCH("✓",C13))</formula>
    </cfRule>
    <cfRule type="expression" priority="17" dxfId="1" stopIfTrue="1">
      <formula>ISNUMBER(SEARCH("未入力",C13))</formula>
    </cfRule>
  </conditionalFormatting>
  <dataValidations count="1">
    <dataValidation sqref="C8" showDropDown="0" showInputMessage="1" showErrorMessage="1" allowBlank="1" promptTitle="入力のヒント" prompt="西暦 YYYY/MM/DD。" type="whole" errorStyle="warning" operator="between">
      <formula1>1</formula1>
      <formula2>99999999</formula2>
    </dataValidation>
  </dataValidations>
  <pageMargins left="0.75" right="0.75" top="1" bottom="1" header="0.5" footer="0.5"/>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B1:D2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34" customWidth="1" min="2" max="2"/>
    <col width="30" customWidth="1" min="3" max="3"/>
    <col width="56" customWidth="1" min="4" max="4"/>
  </cols>
  <sheetData>
    <row r="1">
      <c r="B1" s="14" t="inlineStr">
        <is>
          <t>⓪ 事業所設定</t>
        </is>
      </c>
    </row>
    <row r="2">
      <c r="B2" s="29" t="inlineStr">
        <is>
          <t>最初に一度だけ設定してください。①従業員情報シートの加入判定がこの設定を参照します。</t>
        </is>
      </c>
    </row>
    <row r="3" ht="41" customHeight="1">
      <c r="B3" s="30" t="inlineStr">
        <is>
          <t>【企業規模要件】特定適用事業所の人数要件は、2027年10月以降に 51人→（順次）と段階的に縮小される予定です（2024/10時点は51人以上）。本フォームの企業規模区分は、下の被保険者数の設定値で判定します。</t>
        </is>
      </c>
    </row>
    <row r="4" ht="41" customHeight="1">
      <c r="B4" s="30" t="inlineStr">
        <is>
          <t>【所定内賃金 8.8万円要件】2026年10月に撤廃が予定されています。下の『判定基準日』が 2026/10/1 以降のとき、本要件は自動的に無効化されます。</t>
        </is>
      </c>
    </row>
    <row r="6" ht="38" customHeight="1">
      <c r="B6" s="31" t="inlineStr">
        <is>
          <t>【必】 会社名</t>
        </is>
      </c>
      <c r="C6" s="32" t="n"/>
      <c r="D6" s="33" t="inlineStr">
        <is>
          <t>適用事業所の名称。</t>
        </is>
      </c>
    </row>
    <row r="7" ht="38" customHeight="1">
      <c r="B7" s="34" t="inlineStr">
        <is>
          <t>【任】 法人番号（13桁）</t>
        </is>
      </c>
      <c r="C7" s="35" t="n"/>
      <c r="D7" s="33" t="inlineStr">
        <is>
          <t>国税庁の13桁の法人番号。</t>
        </is>
      </c>
    </row>
    <row r="8" ht="38" customHeight="1">
      <c r="B8" s="31" t="inlineStr">
        <is>
          <t>【必】 健康保険の種類</t>
        </is>
      </c>
      <c r="C8" s="32" t="n"/>
      <c r="D8" s="33" t="inlineStr">
        <is>
          <t>協会けんぽ／健康保険組合 のいずれか。</t>
        </is>
      </c>
    </row>
    <row r="9" ht="40" customHeight="1">
      <c r="B9" s="31" t="inlineStr">
        <is>
          <t>【必】 厚生年金保険の被保険者数</t>
        </is>
      </c>
      <c r="C9" s="32" t="n"/>
      <c r="D9" s="33" t="inlineStr">
        <is>
          <t>同一法人番号の全適用事業所の合算。短時間労働者本人・70歳以上で健保のみの者は含めない。</t>
        </is>
      </c>
    </row>
    <row r="10" ht="38" customHeight="1">
      <c r="B10" s="36" t="inlineStr">
        <is>
          <t>【自動】 〔自動〕企業規模区分</t>
        </is>
      </c>
      <c r="C10" s="36">
        <f>IF(C9="","",IF(C9&gt;=51,"特定適用事業所（51人以上）","50人以下"))</f>
        <v/>
      </c>
      <c r="D10" s="33" t="inlineStr">
        <is>
          <t>被保険者数 51人以上で『特定適用事業所』。自動表示。</t>
        </is>
      </c>
    </row>
    <row r="11" ht="40" customHeight="1">
      <c r="B11" s="31" t="inlineStr">
        <is>
          <t>【必】 任意特定適用事業所の申出</t>
        </is>
      </c>
      <c r="C11" s="32" t="n"/>
      <c r="D11" s="33" t="inlineStr">
        <is>
          <t>50人以下でも労使合意で短時間労働者に適用する場合は『あり』。</t>
        </is>
      </c>
    </row>
    <row r="12" ht="40" customHeight="1">
      <c r="B12" s="36" t="inlineStr">
        <is>
          <t>【自動】 〔自動〕短時間労働者への適用</t>
        </is>
      </c>
      <c r="C12" s="36">
        <f>IF(C9="","",IF(OR(C9&gt;=51,C11="あり"),"適用あり","適用なし"))</f>
        <v/>
      </c>
      <c r="D12" s="33" t="inlineStr">
        <is>
          <t>被保険者数51人以上、または任意申出『あり』で『適用あり』。</t>
        </is>
      </c>
    </row>
    <row r="13" ht="40" customHeight="1">
      <c r="B13" s="31" t="inlineStr">
        <is>
          <t>【必】 正社員の1週間の所定労働時間(h)</t>
        </is>
      </c>
      <c r="C13" s="32" t="n"/>
      <c r="D13" s="33" t="inlineStr">
        <is>
          <t>4分の3基準の分母。通常の労働者（正社員）の契約上の週所定。</t>
        </is>
      </c>
    </row>
    <row r="14" ht="40" customHeight="1">
      <c r="B14" s="31" t="inlineStr">
        <is>
          <t>【必】 正社員の1か月の所定労働日数(日)</t>
        </is>
      </c>
      <c r="C14" s="32" t="n"/>
      <c r="D14" s="33" t="inlineStr">
        <is>
          <t>4分の3基準の分母。通常の労働者（正社員）の月所定日数。</t>
        </is>
      </c>
    </row>
    <row r="15" ht="40" customHeight="1">
      <c r="B15" s="36" t="inlineStr">
        <is>
          <t>【自動】 〔自動〕4分の3しきい値（週・h）</t>
        </is>
      </c>
      <c r="C15" s="71">
        <f>IF(C13="","",C13*0.75)</f>
        <v/>
      </c>
      <c r="D15" s="33" t="inlineStr">
        <is>
          <t>正社員週所定 × 0.75。これ以上で4分の3基準（週）を満たす。</t>
        </is>
      </c>
    </row>
    <row r="16" ht="40" customHeight="1">
      <c r="B16" s="36" t="inlineStr">
        <is>
          <t>【自動】 〔自動〕4分の3しきい値（月・日）</t>
        </is>
      </c>
      <c r="C16" s="71">
        <f>IF(C14="","",C14*0.75)</f>
        <v/>
      </c>
      <c r="D16" s="33" t="inlineStr">
        <is>
          <t>正社員月所定日数 × 0.75。これ以上で4分の3基準（月）を満たす。</t>
        </is>
      </c>
    </row>
    <row r="17" ht="40" customHeight="1">
      <c r="B17" s="31" t="inlineStr">
        <is>
          <t>【必】 判定基準日</t>
        </is>
      </c>
      <c r="C17" s="72">
        <f>TODAY()</f>
        <v/>
      </c>
      <c r="D17" s="33" t="inlineStr">
        <is>
          <t>賃金要件（8.8万円）の施行日分岐に使用。既定は本日。手入力で上書き可。</t>
        </is>
      </c>
    </row>
    <row r="18" ht="38" customHeight="1">
      <c r="B18" s="34" t="inlineStr">
        <is>
          <t>【任】 〔参考〕事業所所在地の最低賃金(円)</t>
        </is>
      </c>
      <c r="C18" s="32" t="n"/>
      <c r="D18" s="33" t="inlineStr">
        <is>
          <t>任意。参考情報として保持。</t>
        </is>
      </c>
    </row>
    <row r="19" ht="38" customHeight="1">
      <c r="B19" s="31" t="inlineStr">
        <is>
          <t>【必】 健康保険・厚生年金の事業所整理記号</t>
        </is>
      </c>
      <c r="C19" s="35" t="n"/>
      <c r="D19" s="33" t="inlineStr">
        <is>
          <t>毎月20日ごろ年金事務所から届く「保険料納入告知額・領収済額通知書」に載っています。口座振替の会社は別名の紙で届きます。例）12-アイウ　2回目以降のご注文で、前回お知らせいただいていれば「前回と同じ」とご記入ください。</t>
        </is>
      </c>
    </row>
    <row r="20" ht="38" customHeight="1">
      <c r="B20" s="31" t="inlineStr">
        <is>
          <t>【必】 同 事業所番号</t>
        </is>
      </c>
      <c r="C20" s="35" t="n"/>
      <c r="D20" s="33" t="inlineStr">
        <is>
          <t>同じ紙の、整理記号の隣にある番号です。5桁。　2回目以降のご注文で、前回お知らせいただいていれば「前回と同じ」とご記入ください。</t>
        </is>
      </c>
    </row>
    <row r="21" ht="38" customHeight="1">
      <c r="B21" s="31" t="inlineStr">
        <is>
          <t>【必】 雇用保険の事業所番号</t>
        </is>
      </c>
      <c r="C21" s="35" t="n"/>
      <c r="D21" s="33" t="inlineStr">
        <is>
          <t>「雇用保険適用事業所設置届 事業主控」または資格取得等確認通知書に載っています。4桁-6桁-1桁。例）1610-123456-7　2回目以降のご注文で、前回お知らせいただいていれば「前回と同じ」とご記入ください。</t>
        </is>
      </c>
    </row>
  </sheetData>
  <mergeCells count="2">
    <mergeCell ref="B3:D3"/>
    <mergeCell ref="B4:D4"/>
  </mergeCells>
  <conditionalFormatting sqref="C6">
    <cfRule type="expression" priority="1" dxfId="2" stopIfTrue="0">
      <formula>C6=""</formula>
    </cfRule>
  </conditionalFormatting>
  <conditionalFormatting sqref="C8">
    <cfRule type="expression" priority="2" dxfId="2" stopIfTrue="0">
      <formula>C8=""</formula>
    </cfRule>
  </conditionalFormatting>
  <conditionalFormatting sqref="C9">
    <cfRule type="expression" priority="3" dxfId="2" stopIfTrue="0">
      <formula>C9=""</formula>
    </cfRule>
  </conditionalFormatting>
  <conditionalFormatting sqref="C11">
    <cfRule type="expression" priority="4" dxfId="2" stopIfTrue="0">
      <formula>C11=""</formula>
    </cfRule>
  </conditionalFormatting>
  <conditionalFormatting sqref="C13">
    <cfRule type="expression" priority="5" dxfId="2" stopIfTrue="0">
      <formula>C13=""</formula>
    </cfRule>
  </conditionalFormatting>
  <conditionalFormatting sqref="C14">
    <cfRule type="expression" priority="6" dxfId="2" stopIfTrue="0">
      <formula>C14=""</formula>
    </cfRule>
  </conditionalFormatting>
  <conditionalFormatting sqref="C17">
    <cfRule type="expression" priority="7" dxfId="2" stopIfTrue="0">
      <formula>C17=""</formula>
    </cfRule>
  </conditionalFormatting>
  <dataValidations count="11">
    <dataValidation sqref="C7" showDropDown="0" showInputMessage="1" showErrorMessage="1" allowBlank="1" errorTitle="入力エラー" error="13桁で入力してください。" promptTitle="入力のヒント" prompt="13桁の法人番号（任意）。" type="textLength" errorStyle="warning" operator="equal">
      <formula1>13</formula1>
    </dataValidation>
    <dataValidation sqref="C8" showDropDown="0" showInputMessage="1" showErrorMessage="1" allowBlank="1" errorTitle="入力エラー" error="一覧から選択してください。" promptTitle="入力のヒント" prompt="協会けんぽ／健康保険組合 から選択。" type="list" errorStyle="stop">
      <formula1>m_健保種類</formula1>
    </dataValidation>
    <dataValidation sqref="C9" showDropDown="0" showInputMessage="1" showErrorMessage="1" allowBlank="1" errorTitle="入力エラー" error="0以上の整数で入力してください。" promptTitle="入力のヒント" prompt="0以上の整数（人数）。" type="whole" errorStyle="stop" operator="between">
      <formula1>0</formula1>
      <formula2>100000</formula2>
    </dataValidation>
    <dataValidation sqref="C11" showDropDown="0" showInputMessage="1" showErrorMessage="1" allowBlank="1" errorTitle="入力エラー" error="あり／なし から選択してください。" promptTitle="入力のヒント" prompt="50人以下でも労使合意で適用する場合『あり』。" type="list" errorStyle="stop">
      <formula1>m_任意申出</formula1>
    </dataValidation>
    <dataValidation sqref="C13" showDropDown="0" showInputMessage="1" showErrorMessage="1" allowBlank="1" errorTitle="入力エラー" error="0〜80で入力してください。" promptTitle="入力のヒント" prompt="0〜80の数値（時間）。" type="decimal" errorStyle="stop" operator="between">
      <formula1>0</formula1>
      <formula2>80</formula2>
    </dataValidation>
    <dataValidation sqref="C14" showDropDown="0" showInputMessage="1" showErrorMessage="1" allowBlank="1" errorTitle="入力エラー" error="0〜31で入力してください。" promptTitle="入力のヒント" prompt="0〜31の数値（日数）。" type="decimal" errorStyle="stop" operator="between">
      <formula1>0</formula1>
      <formula2>31</formula2>
    </dataValidation>
    <dataValidation sqref="C17" showDropDown="0" showInputMessage="1" showErrorMessage="1" allowBlank="1" errorTitle="入力エラー" error="日付（YYYY/MM/DD）で入力してください。" promptTitle="入力のヒント" prompt="西暦 YYYY/MM/DD。既定は本日。" type="date" errorStyle="stop" operator="between">
      <formula1>DATE(1900,1,1)</formula1>
      <formula2>DATE(2199,12,31)</formula2>
    </dataValidation>
    <dataValidation sqref="C18" showDropDown="0" showInputMessage="1" showErrorMessage="1" allowBlank="1" errorTitle="入力エラー" error="0以上の整数で入力してください。" promptTitle="入力のヒント" prompt="円（整数・任意）。" type="whole" errorStyle="stop" operator="between">
      <formula1>0</formula1>
      <formula2>100000</formula2>
    </dataValidation>
    <dataValidation sqref="C19" showDropDown="0" showInputMessage="1" showErrorMessage="0" allowBlank="1" promptTitle="ご記入のお願い" prompt="資格取得届の事業所整理記号欄。初めて社会保険に加入する会社は「新規適用の申請中」とご記入ください。2回目以降のご注文で、前回お知らせいただいていれば「前回と同じ」とご記入ください。" type="textLength" operator="between">
      <formula1>1</formula1>
      <formula2>30</formula2>
    </dataValidation>
    <dataValidation sqref="C20" showDropDown="0" showInputMessage="1" showErrorMessage="0" allowBlank="1" promptTitle="ご記入のお願い" prompt="資格取得届の事業所番号欄。2回目以降のご注文で、前回お知らせいただいていれば「前回と同じ」とご記入ください。" type="textLength" operator="between">
      <formula1>1</formula1>
      <formula2>30</formula2>
    </dataValidation>
    <dataValidation sqref="C21" showDropDown="0" showInputMessage="1" showErrorMessage="0" allowBlank="1" promptTitle="ご記入のお願い" prompt="雇用保険 資格取得届の事業所番号欄。初めて雇用保険に加入する会社は「新規適用の申請中」とご記入ください。2回目以降のご注文で、前回お知らせいただいていれば「前回と同じ」とご記入ください。" type="textLength" operator="between">
      <formula1>1</formula1>
      <formula2>30</formula2>
    </dataValidation>
  </dataValidations>
  <printOptions horizontalCentered="0"/>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AY58"/>
  <sheetViews>
    <sheetView showGridLines="0"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0" customWidth="1" min="2" max="2"/>
    <col width="20" customWidth="1" min="3" max="3"/>
    <col width="9" customWidth="1" min="4" max="4"/>
    <col width="15" customWidth="1" min="5" max="5"/>
    <col width="8" customWidth="1" min="6" max="6"/>
    <col width="19" customWidth="1" min="7" max="7"/>
    <col width="14" customWidth="1" min="8" max="8"/>
    <col width="14" customWidth="1" min="9" max="9"/>
    <col width="16" customWidth="1" min="10" max="10"/>
    <col width="17" customWidth="1" min="11" max="11"/>
    <col width="17" customWidth="1" min="12" max="12"/>
    <col width="17" customWidth="1" min="13" max="13"/>
    <col width="18" customWidth="1" min="14" max="14"/>
    <col width="17" customWidth="1" min="15" max="15"/>
    <col width="17" customWidth="1" min="16" max="16"/>
    <col width="13" customWidth="1" min="17" max="17"/>
    <col width="17" customWidth="1" min="18" max="18"/>
    <col width="16" customWidth="1" min="19" max="19"/>
    <col width="16" customWidth="1" min="20" max="20"/>
    <col width="18" customWidth="1" min="21" max="21"/>
    <col width="18" customWidth="1" min="22" max="22"/>
    <col width="16" customWidth="1" min="23" max="23"/>
    <col width="26" customWidth="1" min="24" max="24"/>
    <col width="24" customWidth="1" min="25" max="25"/>
    <col width="20" customWidth="1" min="26" max="26"/>
    <col width="18" customWidth="1" min="27" max="27"/>
    <col width="18" customWidth="1" min="28" max="28"/>
    <col width="18" customWidth="1" min="29" max="29"/>
    <col width="24" customWidth="1" min="30" max="30"/>
    <col width="24" customWidth="1" min="31" max="31"/>
    <col width="17" customWidth="1" min="32" max="32"/>
    <col width="12" customWidth="1" min="33" max="33"/>
    <col width="11" customWidth="1" min="34" max="34"/>
    <col width="24" customWidth="1" min="35" max="35"/>
    <col width="18" customWidth="1" min="36" max="36"/>
    <col width="16" customWidth="1" min="37" max="37"/>
    <col width="10" customWidth="1" min="38" max="38"/>
    <col width="16" customWidth="1" min="39" max="39"/>
    <col width="15" customWidth="1" min="40" max="40"/>
    <col width="20" customWidth="1" min="41" max="41"/>
    <col width="20" customWidth="1" min="42" max="42"/>
    <col width="12" customWidth="1" min="43" max="43"/>
    <col width="28" customWidth="1" min="44" max="44"/>
    <col hidden="1" width="13" customWidth="1" min="45" max="45"/>
    <col hidden="1" width="13" customWidth="1" min="46" max="46"/>
    <col hidden="1" width="13" customWidth="1" min="47" max="47"/>
    <col width="22" customWidth="1" min="48" max="48"/>
    <col width="22" customWidth="1" min="49" max="49"/>
    <col width="22" customWidth="1" min="50" max="50"/>
    <col width="22" customWidth="1" min="51" max="51"/>
  </cols>
  <sheetData>
    <row r="1" ht="24" customHeight="1">
      <c r="A1" s="14" t="inlineStr">
        <is>
          <t>① 従業員情報（本人）</t>
        </is>
      </c>
      <c r="K1" s="39" t="inlineStr">
        <is>
          <t>※加入判定は目安です。最終判断は社労士が行います。</t>
        </is>
      </c>
    </row>
    <row r="2">
      <c r="A2" s="40" t="n"/>
      <c r="B2" s="40" t="n"/>
      <c r="C2" s="40" t="n"/>
      <c r="D2" s="40" t="n"/>
      <c r="E2" s="40" t="n"/>
      <c r="F2" s="40" t="n"/>
      <c r="G2" s="40" t="n"/>
      <c r="H2" s="40" t="n"/>
      <c r="I2" s="40" t="n"/>
      <c r="J2" s="40" t="n"/>
      <c r="K2" s="40" t="n"/>
      <c r="L2" s="40" t="n"/>
      <c r="M2" s="40" t="n"/>
      <c r="N2" s="40" t="n"/>
      <c r="O2" s="40" t="n"/>
      <c r="P2" s="40" t="n"/>
    </row>
    <row r="3" ht="19" customHeight="1">
      <c r="A3" s="40" t="n"/>
      <c r="B3" s="41" t="inlineStr">
        <is>
          <t>入力対象人数</t>
        </is>
      </c>
      <c r="D3" s="41" t="inlineStr">
        <is>
          <t>必須充足人数</t>
        </is>
      </c>
      <c r="F3" s="41" t="inlineStr">
        <is>
          <t>必須未入力 残件数</t>
        </is>
      </c>
      <c r="H3" s="40" t="n"/>
      <c r="I3" s="41" t="inlineStr">
        <is>
          <t>形式エラー件数</t>
        </is>
      </c>
      <c r="K3" s="40" t="n"/>
      <c r="L3" s="41" t="inlineStr">
        <is>
          <t>完了率</t>
        </is>
      </c>
      <c r="N3" s="40" t="n"/>
      <c r="O3" s="40" t="n"/>
      <c r="P3" s="40" t="n"/>
    </row>
    <row r="4">
      <c r="A4" s="40" t="n"/>
      <c r="B4" s="73">
        <f>COUNTA(B9:B58)</f>
        <v/>
      </c>
      <c r="C4" s="74" t="n"/>
      <c r="D4" s="73">
        <f>COUNTIF(AT9:AT58,0)</f>
        <v/>
      </c>
      <c r="E4" s="74" t="n"/>
      <c r="F4" s="75">
        <f>SUM(AT9:AT58)</f>
        <v/>
      </c>
      <c r="G4" s="74" t="n"/>
      <c r="H4" s="40" t="n"/>
      <c r="I4" s="75">
        <f>SUM(AU9:AU58)</f>
        <v/>
      </c>
      <c r="J4" s="74" t="n"/>
      <c r="K4" s="40" t="n"/>
      <c r="L4" s="44">
        <f>IF(B4=0,0,D4/B4)</f>
        <v/>
      </c>
      <c r="M4" s="74" t="n"/>
      <c r="N4" s="40" t="n"/>
      <c r="O4" s="40" t="n"/>
      <c r="P4" s="40" t="n"/>
    </row>
    <row r="5" ht="20" customHeight="1">
      <c r="A5" s="40" t="n"/>
      <c r="B5" s="45">
        <f>IF(B4=0,"（まだ入力がありません。水色の記入例の下の行からご記入ください）",IF(AND(F4=0,D4&lt;&gt;B4),"⚠ 式の入っていない行があります：行を挿入せず 9〜58 行にご記入ください",IF(F4=0,"✓ 必須の未入力はありません","⚠ 必須の未入力が "&amp;F4&amp;" 件あります：本体の赤いセルをご確認ください")))</f>
        <v/>
      </c>
      <c r="M5" s="40" t="n"/>
      <c r="N5" s="40" t="n"/>
      <c r="O5" s="40" t="n"/>
      <c r="P5" s="40" t="n"/>
    </row>
    <row r="6" ht="20" customHeight="1">
      <c r="A6" s="46" t="inlineStr">
        <is>
          <t>A基本情報</t>
        </is>
      </c>
      <c r="B6" s="76" t="n"/>
      <c r="C6" s="76" t="n"/>
      <c r="D6" s="76" t="n"/>
      <c r="E6" s="76" t="n"/>
      <c r="F6" s="74" t="n"/>
      <c r="G6" s="47" t="inlineStr">
        <is>
          <t>B雇用・勤務条件</t>
        </is>
      </c>
      <c r="H6" s="76" t="n"/>
      <c r="I6" s="76" t="n"/>
      <c r="J6" s="76" t="n"/>
      <c r="K6" s="76" t="n"/>
      <c r="L6" s="76" t="n"/>
      <c r="M6" s="76" t="n"/>
      <c r="N6" s="76" t="n"/>
      <c r="O6" s="76" t="n"/>
      <c r="P6" s="74" t="n"/>
      <c r="Q6" s="48" t="inlineStr">
        <is>
          <t>C賃金</t>
        </is>
      </c>
      <c r="R6" s="76" t="n"/>
      <c r="S6" s="76" t="n"/>
      <c r="T6" s="76" t="n"/>
      <c r="U6" s="76" t="n"/>
      <c r="V6" s="76" t="n"/>
      <c r="W6" s="74" t="n"/>
      <c r="X6" s="49" t="inlineStr">
        <is>
          <t>D加入判定（自動）</t>
        </is>
      </c>
      <c r="Y6" s="76" t="n"/>
      <c r="Z6" s="74" t="n"/>
      <c r="AA6" s="50" t="inlineStr">
        <is>
          <t>E番号・本人確認</t>
        </is>
      </c>
      <c r="AB6" s="76" t="n"/>
      <c r="AC6" s="76" t="n"/>
      <c r="AD6" s="76" t="n"/>
      <c r="AE6" s="76" t="n"/>
      <c r="AF6" s="74" t="n"/>
      <c r="AG6" s="51" t="inlineStr">
        <is>
          <t>F住所・連絡先</t>
        </is>
      </c>
      <c r="AH6" s="76" t="n"/>
      <c r="AI6" s="76" t="n"/>
      <c r="AJ6" s="76" t="n"/>
      <c r="AK6" s="74" t="n"/>
      <c r="AL6" s="49" t="inlineStr">
        <is>
          <t>G国籍</t>
        </is>
      </c>
      <c r="AM6" s="76" t="n"/>
      <c r="AN6" s="76" t="n"/>
      <c r="AO6" s="74" t="n"/>
      <c r="AP6" s="52" t="inlineStr">
        <is>
          <t>Hその他</t>
        </is>
      </c>
      <c r="AQ6" s="76" t="n"/>
      <c r="AR6" s="74" t="n"/>
      <c r="AV6" s="52" t="inlineStr">
        <is>
          <t>I追加項目（職種・賃金要件・二以上勤務）</t>
        </is>
      </c>
      <c r="AW6" s="76" t="n"/>
      <c r="AX6" s="74" t="n"/>
      <c r="AY6" s="74" t="n"/>
    </row>
    <row r="7" ht="60" customHeight="1">
      <c r="A7" s="8" t="inlineStr">
        <is>
          <t>フォーム内No.
【自動】</t>
        </is>
      </c>
      <c r="B7" s="6" t="inlineStr">
        <is>
          <t>氏名（漢字）
【必】</t>
        </is>
      </c>
      <c r="C7" s="6" t="inlineStr">
        <is>
          <t>氏名（フリガナ）
【必】</t>
        </is>
      </c>
      <c r="D7" s="6" t="inlineStr">
        <is>
          <t>性別
【必】</t>
        </is>
      </c>
      <c r="E7" s="6" t="inlineStr">
        <is>
          <t>生年月日
【必】</t>
        </is>
      </c>
      <c r="F7" s="8" t="inlineStr">
        <is>
          <t>年齢
【自動】</t>
        </is>
      </c>
      <c r="G7" s="6" t="inlineStr">
        <is>
          <t>入社日／資格取得日
【必】</t>
        </is>
      </c>
      <c r="H7" s="6" t="inlineStr">
        <is>
          <t>雇用形態
【必】</t>
        </is>
      </c>
      <c r="I7" s="6" t="inlineStr">
        <is>
          <t>雇用期間の定め
【必】</t>
        </is>
      </c>
      <c r="J7" s="7" t="inlineStr">
        <is>
          <t>契約満了日
【任】</t>
        </is>
      </c>
      <c r="K7" s="7" t="inlineStr">
        <is>
          <t>契約更新の見込み
【任】</t>
        </is>
      </c>
      <c r="L7" s="6" t="inlineStr">
        <is>
          <t>週の所定労働時間(h)
【必】</t>
        </is>
      </c>
      <c r="M7" s="6" t="inlineStr">
        <is>
          <t>月の所定労働日数(日)
【必】</t>
        </is>
      </c>
      <c r="N7" s="6" t="inlineStr">
        <is>
          <t>学生区分
【必】</t>
        </is>
      </c>
      <c r="O7" s="8" t="inlineStr">
        <is>
          <t>2か月超 雇用見込み
【自動】</t>
        </is>
      </c>
      <c r="P7" s="8" t="inlineStr">
        <is>
          <t>31日以上 雇用見込み
【自動】</t>
        </is>
      </c>
      <c r="Q7" s="6" t="inlineStr">
        <is>
          <t>賃金形態
【必】</t>
        </is>
      </c>
      <c r="R7" s="7" t="inlineStr">
        <is>
          <t>時給・日給の単価(円)
【任】</t>
        </is>
      </c>
      <c r="S7" s="6" t="inlineStr">
        <is>
          <t>基本給(月額・円)
【必】</t>
        </is>
      </c>
      <c r="T7" s="7" t="inlineStr">
        <is>
          <t>固定手当(月額・円)
【任】</t>
        </is>
      </c>
      <c r="U7" s="7" t="inlineStr">
        <is>
          <t>通勤手当(1か月相当・円)
【任】</t>
        </is>
      </c>
      <c r="V7" s="7" t="inlineStr">
        <is>
          <t>現物給与(月額相当・円)
【任】</t>
        </is>
      </c>
      <c r="W7" s="8" t="inlineStr">
        <is>
          <t>報酬月額 合計
【自動】</t>
        </is>
      </c>
      <c r="X7" s="8" t="inlineStr">
        <is>
          <t>健保・厚年 加入判定
【自動】</t>
        </is>
      </c>
      <c r="Y7" s="8" t="inlineStr">
        <is>
          <t>年齢注記
【自動】</t>
        </is>
      </c>
      <c r="Z7" s="8" t="inlineStr">
        <is>
          <t>雇用保険 加入判定
【自動】</t>
        </is>
      </c>
      <c r="AA7" s="6" t="inlineStr">
        <is>
          <t>マイナンバー(12桁)
【必】</t>
        </is>
      </c>
      <c r="AB7" s="6" t="inlineStr">
        <is>
          <t>基礎年金番号(10桁)
【必】</t>
        </is>
      </c>
      <c r="AC7" s="6" t="inlineStr">
        <is>
          <t>前職での雇用保険加入
【必】</t>
        </is>
      </c>
      <c r="AD7" s="6" t="inlineStr">
        <is>
          <t>雇用保険被保険者番号(11桁)
【必】</t>
        </is>
      </c>
      <c r="AE7" s="7" t="inlineStr">
        <is>
          <t>前職の事業所名(番号不明時)
【任】</t>
        </is>
      </c>
      <c r="AF7" s="7" t="inlineStr">
        <is>
          <t>前職の退職年月日(番号不明時)
【任】</t>
        </is>
      </c>
      <c r="AG7" s="6" t="inlineStr">
        <is>
          <t>郵便番号
【必】</t>
        </is>
      </c>
      <c r="AH7" s="6" t="inlineStr">
        <is>
          <t>都道府県
【必】</t>
        </is>
      </c>
      <c r="AI7" s="6" t="inlineStr">
        <is>
          <t>市区町村以下
【必】</t>
        </is>
      </c>
      <c r="AJ7" s="7" t="inlineStr">
        <is>
          <t>建物名・部屋番号
【任】</t>
        </is>
      </c>
      <c r="AK7" s="7" t="inlineStr">
        <is>
          <t>電話番号
【任】</t>
        </is>
      </c>
      <c r="AL7" s="6" t="inlineStr">
        <is>
          <t>国籍
【必】</t>
        </is>
      </c>
      <c r="AM7" s="7" t="inlineStr">
        <is>
          <t>在留資格
【条件必須】外国籍のとき</t>
        </is>
      </c>
      <c r="AN7" s="7" t="inlineStr">
        <is>
          <t>在留期間満了日
【条件必須】外国籍のとき</t>
        </is>
      </c>
      <c r="AO7" s="7" t="inlineStr">
        <is>
          <t>ローマ字氏名
【条件必須】外国籍のとき</t>
        </is>
      </c>
      <c r="AP7" s="6" t="inlineStr">
        <is>
          <t>資格確認書 発行要否
【必】</t>
        </is>
      </c>
      <c r="AQ7" s="6" t="inlineStr">
        <is>
          <t>被扶養者の有無
【必】</t>
        </is>
      </c>
      <c r="AR7" s="7" t="inlineStr">
        <is>
          <t>備考
【任】</t>
        </is>
      </c>
      <c r="AV7" s="6" t="inlineStr">
        <is>
          <t>職種（雇用保険）
【必】</t>
        </is>
      </c>
      <c r="AW7" s="7" t="inlineStr">
        <is>
          <t>うち家族手当・精皆勤手当
(月額・円)
【任】</t>
        </is>
      </c>
      <c r="AX7" s="7" t="inlineStr">
        <is>
          <t>他社でも社会保険に加入
【任】</t>
        </is>
      </c>
      <c r="AY7" s="6" t="inlineStr">
        <is>
          <t>現物給与の種類
【条件必須】現物給与があるとき</t>
        </is>
      </c>
    </row>
    <row r="8" ht="37" customHeight="1">
      <c r="A8" s="53" t="inlineStr">
        <is>
          <t>例</t>
        </is>
      </c>
      <c r="B8" s="54" t="inlineStr">
        <is>
          <t>山田 太郎</t>
        </is>
      </c>
      <c r="C8" s="54" t="inlineStr">
        <is>
          <t>ヤマダ タロウ</t>
        </is>
      </c>
      <c r="D8" s="54" t="inlineStr">
        <is>
          <t>男</t>
        </is>
      </c>
      <c r="E8" s="77" t="n">
        <v>32964</v>
      </c>
      <c r="F8" s="54">
        <f>IF(OR($E8="",$E8&gt;80000),"",DATEDIF($E8,IF(OR($G8="",$G8&gt;80000),TODAY(),$G8),"Y"))</f>
        <v/>
      </c>
      <c r="G8" s="77" t="n">
        <v>46204</v>
      </c>
      <c r="H8" s="54" t="inlineStr">
        <is>
          <t>正社員</t>
        </is>
      </c>
      <c r="I8" s="54" t="inlineStr">
        <is>
          <t>なし</t>
        </is>
      </c>
      <c r="J8" s="54" t="n"/>
      <c r="K8" s="54" t="n"/>
      <c r="L8" s="54" t="n">
        <v>40</v>
      </c>
      <c r="M8" s="54" t="n">
        <v>21</v>
      </c>
      <c r="N8" s="54" t="inlineStr">
        <is>
          <t>学生ではない</t>
        </is>
      </c>
      <c r="O8" s="54">
        <f>IF($B8="","",IF($I8="なし","あり",IF($I8&lt;&gt;"あり","",IF($K8="更新の可能性あり","あり",IF(OR($J8="",$G8=""),"なし",IF(OR(NOT(ISNUMBER($G8)),NOT(ISNUMBER($J8)),$G8&gt;80000,$J8&gt;80000),"要確認（日付）",IF($J8&gt;IF(DAY(EDATE($G8,2))&lt;DAY($G8),EOMONTH($G8,2),EDATE($G8,2)-1),"あり","なし"))))))</f>
        <v/>
      </c>
      <c r="P8" s="54">
        <f>IF($B8="","",IF($I8="なし","あり",IF($I8="あり",IF(OR($K8="更新の可能性あり",AND($J8&lt;&gt;"",$G8&lt;&gt;"",$J8-$G8+1&gt;=31)),"あり","なし"),"")))</f>
        <v/>
      </c>
      <c r="Q8" s="54" t="inlineStr">
        <is>
          <t>月給</t>
        </is>
      </c>
      <c r="R8" s="78" t="n"/>
      <c r="S8" s="78" t="n">
        <v>250000</v>
      </c>
      <c r="T8" s="78" t="n">
        <v>20000</v>
      </c>
      <c r="U8" s="78" t="n">
        <v>12000</v>
      </c>
      <c r="V8" s="78" t="n">
        <v>0</v>
      </c>
      <c r="W8" s="78">
        <f>IF($B8="","",SUM($S8,$T8,$U8,$V8))</f>
        <v/>
      </c>
      <c r="X8" s="54">
        <f>IF(OR('⓪ 事業所設定'!$C$9="",'⓪ 事業所設定'!$C$13="",'⓪ 事業所設定'!$C$14="",'⓪ 事業所設定'!$C$17=""),"事業所設定が未入力です",IF($B8="","",IF(AND($L8&gt;='⓪ 事業所設定'!$C$13*0.75,$M8&gt;='⓪ 事業所設定'!$C$14*0.75,$O8="あり"),"加入（一般被保険者）",IF(AND('⓪ 事業所設定'!$C$12="適用あり",$L8&gt;=20,$O8="あり",$N8&lt;&gt;"昼間部の学生",OR('⓪ 事業所設定'!$C$17&gt;=DATE(2026,10,1),($S8+$T8-N($AW8))&gt;=88000)),"加入（短時間労働者）","加入対象外"))))</f>
        <v/>
      </c>
      <c r="Y8" s="54">
        <f>IF($B8="","",TRIM(IF(AND($F8&lt;&gt;"",$F8&gt;=70,ISNUMBER(SEARCH("加入（",$X8))),"厚年対象外（70歳以上被用者該当届） ","")&amp;IF(AND($F8&lt;&gt;"",$F8&gt;=75),"健保対象外（後期高齢者医療） ","")&amp;IF(AND($F8&lt;&gt;"",$F8&gt;=65,$Z8="加入"),"雇保：高年齢被保険者 ","")))</f>
        <v/>
      </c>
      <c r="Z8" s="54">
        <f>IF($B8="","",IF($H8="役員","対象外（兼務役員なら要相談）",IF(AND($L8&gt;=20,$P8="あり",$N8&lt;&gt;"昼間部の学生"),"加入","加入対象外")))</f>
        <v/>
      </c>
      <c r="AA8" s="57" t="inlineStr">
        <is>
          <t>123456789012</t>
        </is>
      </c>
      <c r="AB8" s="57" t="n"/>
      <c r="AC8" s="54" t="inlineStr">
        <is>
          <t>なし</t>
        </is>
      </c>
      <c r="AD8" s="57" t="n"/>
      <c r="AE8" s="54" t="n"/>
      <c r="AF8" s="54" t="n"/>
      <c r="AG8" s="57" t="inlineStr">
        <is>
          <t>100-0001</t>
        </is>
      </c>
      <c r="AH8" s="54" t="inlineStr">
        <is>
          <t>東京都</t>
        </is>
      </c>
      <c r="AI8" s="54" t="inlineStr">
        <is>
          <t>千代田区千代田1-1</t>
        </is>
      </c>
      <c r="AJ8" s="54" t="inlineStr">
        <is>
          <t>〇〇マンション101</t>
        </is>
      </c>
      <c r="AK8" s="54" t="inlineStr">
        <is>
          <t>03-1234-5678</t>
        </is>
      </c>
      <c r="AL8" s="54" t="inlineStr">
        <is>
          <t>日本</t>
        </is>
      </c>
      <c r="AM8" s="54" t="n"/>
      <c r="AN8" s="54" t="n"/>
      <c r="AO8" s="54" t="n"/>
      <c r="AP8" s="54" t="inlineStr">
        <is>
          <t>否（登録済み）</t>
        </is>
      </c>
      <c r="AQ8" s="54" t="inlineStr">
        <is>
          <t>あり</t>
        </is>
      </c>
      <c r="AR8" s="54" t="inlineStr">
        <is>
          <t>← この行は記入例です。9行目からご記入ください（消しても構いません）</t>
        </is>
      </c>
      <c r="AV8" s="54" t="inlineStr">
        <is>
          <t>事務的職業</t>
        </is>
      </c>
      <c r="AW8" s="78" t="n">
        <v>0</v>
      </c>
      <c r="AX8" s="54" t="inlineStr">
        <is>
          <t>いいえ</t>
        </is>
      </c>
      <c r="AY8" s="54" t="inlineStr">
        <is>
          <t>—</t>
        </is>
      </c>
    </row>
    <row r="9">
      <c r="A9" s="23">
        <f>IF($B9="","",ROW()-8)</f>
        <v/>
      </c>
      <c r="B9" s="17" t="n"/>
      <c r="C9" s="17" t="n"/>
      <c r="D9" s="17" t="n"/>
      <c r="E9" s="67" t="n"/>
      <c r="F9" s="58">
        <f>IF(OR($E9="",$E9&gt;80000),"",DATEDIF($E9,IF(OR($G9="",$G9&gt;80000),TODAY(),$G9),"Y"))</f>
        <v/>
      </c>
      <c r="G9" s="67" t="n"/>
      <c r="H9" s="17" t="n"/>
      <c r="I9" s="17" t="n"/>
      <c r="J9" s="67" t="n"/>
      <c r="K9" s="17" t="n"/>
      <c r="L9" s="17" t="n"/>
      <c r="M9" s="17" t="n"/>
      <c r="N9" s="17" t="n"/>
      <c r="O9" s="23">
        <f>IF($B9="","",IF($I9="なし","あり",IF($I9&lt;&gt;"あり","",IF($K9="更新の可能性あり","あり",IF(OR($J9="",$G9=""),"なし",IF(OR(NOT(ISNUMBER($G9)),NOT(ISNUMBER($J9)),$G9&gt;80000,$J9&gt;80000),"要確認（日付）",IF($J9&gt;IF(DAY(EDATE($G9,2))&lt;DAY($G9),EOMONTH($G9,2),EDATE($G9,2)-1),"あり","なし"))))))</f>
        <v/>
      </c>
      <c r="P9" s="23">
        <f>IF($B9="","",IF($I9="なし","あり",IF($I9="あり",IF(OR($K9="更新の可能性あり",AND($J9&lt;&gt;"",$G9&lt;&gt;"",$J9-$G9+1&gt;=31)),"あり","なし"),"")))</f>
        <v/>
      </c>
      <c r="Q9" s="17" t="n"/>
      <c r="R9" s="59" t="n"/>
      <c r="S9" s="59" t="n"/>
      <c r="T9" s="59" t="n"/>
      <c r="U9" s="59" t="n"/>
      <c r="V9" s="59" t="n"/>
      <c r="W9" s="79">
        <f>IF($B9="","",SUM($S9,$T9,$U9,$V9))</f>
        <v/>
      </c>
      <c r="X9" s="23">
        <f>IF(OR('⓪ 事業所設定'!$C$9="",'⓪ 事業所設定'!$C$13="",'⓪ 事業所設定'!$C$14="",'⓪ 事業所設定'!$C$17=""),"事業所設定が未入力です",IF($B9="","",IF(AND($L9&gt;='⓪ 事業所設定'!$C$13*0.75,$M9&gt;='⓪ 事業所設定'!$C$14*0.75,$O9="あり"),"加入（一般被保険者）",IF(AND('⓪ 事業所設定'!$C$12="適用あり",$L9&gt;=20,$O9="あり",$N9&lt;&gt;"昼間部の学生",OR('⓪ 事業所設定'!$C$17&gt;=DATE(2026,10,1),($S9+$T9-N($AW9))&gt;=88000)),"加入（短時間労働者）","加入対象外"))))</f>
        <v/>
      </c>
      <c r="Y9" s="23">
        <f>IF($B9="","",TRIM(IF(AND($F9&lt;&gt;"",$F9&gt;=70,ISNUMBER(SEARCH("加入（",$X9))),"厚年対象外（70歳以上被用者該当届） ","")&amp;IF(AND($F9&lt;&gt;"",$F9&gt;=75),"健保対象外（後期高齢者医療） ","")&amp;IF(AND($F9&lt;&gt;"",$F9&gt;=65,$Z9="加入"),"雇保：高年齢被保険者 ","")))</f>
        <v/>
      </c>
      <c r="Z9" s="23">
        <f>IF($B9="","",IF($H9="役員","対象外（兼務役員なら要相談）",IF(AND($L9&gt;=20,$P9="あり",$N9&lt;&gt;"昼間部の学生"),"加入","加入対象外")))</f>
        <v/>
      </c>
      <c r="AA9" s="61" t="n"/>
      <c r="AB9" s="61" t="n"/>
      <c r="AC9" s="17" t="n"/>
      <c r="AD9" s="61" t="n"/>
      <c r="AE9" s="17" t="n"/>
      <c r="AF9" s="17" t="n"/>
      <c r="AG9" s="61" t="n"/>
      <c r="AH9" s="17" t="n"/>
      <c r="AI9" s="17" t="n"/>
      <c r="AJ9" s="17" t="n"/>
      <c r="AK9" s="17" t="n"/>
      <c r="AL9" s="17" t="n"/>
      <c r="AM9" s="17" t="n"/>
      <c r="AN9" s="67" t="n"/>
      <c r="AO9" s="17" t="n"/>
      <c r="AP9" s="17" t="n"/>
      <c r="AQ9" s="17" t="n"/>
      <c r="AR9" s="17" t="n"/>
      <c r="AT9">
        <f>IF($B9="","",IF($B9="",1,0)+IF($C9="",1,0)+IF($D9="",1,0)+IF($E9="",1,0)+IF($G9="",1,0)+IF($H9="",1,0)+IF($I9="",1,0)+IF($L9="",1,0)+IF($M9="",1,0)+IF($N9="",1,0)+IF($Q9="",1,0)+IF($S9="",1,0)+IF($AA9="",1,0)+IF($AC9="",1,0)+IF($AG9="",1,0)+IF($AH9="",1,0)+IF($AI9="",1,0)+IF($AL9="",1,0)+IF($AP9="",1,0)+IF($AQ9="",1,0)+IF(AND($I9="あり",$J9=""),1,0)+IF(AND($I9="あり",$K9=""),1,0)+IF(AND($AA9="",$AB9=""),1,0)+IF(AND($AC9="あり",$AD9=""),1,0)+IF(AND($AC9="あり",OR($AD9="",$AD9="後日提出"),$AE9=""),1,0)+IF($AV9="",1,0)+IF(AND($AL9="外国",$AM9=""),1,0)+IF(AND($AL9="外国",$AN9=""),1,0)+IF(AND($AL9="外国",$AO9=""),1,0))</f>
        <v/>
      </c>
      <c r="AU9">
        <f>IF($B9="","",IF(AND($AA9&lt;&gt;"",$AA9&lt;&gt;"後日提出",$AA9&lt;&gt;"別経路提出",LEN($AA9)&lt;&gt;12),1,0)+IF(AND($AB9&lt;&gt;"",$AB9&lt;&gt;"後日提出",LEN($AB9)&lt;&gt;10),1,0)+IF(AND($AD9&lt;&gt;"",$AD9&lt;&gt;"後日提出",LEN($AD9)&lt;&gt;11),1,0)+IF(AND($AG9&lt;&gt;"",LEN(SUBSTITUTE($AG9,"-",""))&lt;&gt;7),1,0))</f>
        <v/>
      </c>
      <c r="AV9" s="17" t="n"/>
      <c r="AW9" s="59" t="n"/>
      <c r="AX9" s="17" t="n"/>
      <c r="AY9" s="17" t="n"/>
    </row>
    <row r="10">
      <c r="A10" s="23">
        <f>IF($B10="","",ROW()-8)</f>
        <v/>
      </c>
      <c r="B10" s="17" t="n"/>
      <c r="C10" s="17" t="n"/>
      <c r="D10" s="17" t="n"/>
      <c r="E10" s="67" t="n"/>
      <c r="F10" s="58">
        <f>IF(OR($E10="",$E10&gt;80000),"",DATEDIF($E10,IF(OR($G10="",$G10&gt;80000),TODAY(),$G10),"Y"))</f>
        <v/>
      </c>
      <c r="G10" s="67" t="n"/>
      <c r="H10" s="17" t="n"/>
      <c r="I10" s="17" t="n"/>
      <c r="J10" s="67" t="n"/>
      <c r="K10" s="17" t="n"/>
      <c r="L10" s="17" t="n"/>
      <c r="M10" s="17" t="n"/>
      <c r="N10" s="17" t="n"/>
      <c r="O10" s="23">
        <f>IF($B10="","",IF($I10="なし","あり",IF($I10&lt;&gt;"あり","",IF($K10="更新の可能性あり","あり",IF(OR($J10="",$G10=""),"なし",IF(OR(NOT(ISNUMBER($G10)),NOT(ISNUMBER($J10)),$G10&gt;80000,$J10&gt;80000),"要確認（日付）",IF($J10&gt;IF(DAY(EDATE($G10,2))&lt;DAY($G10),EOMONTH($G10,2),EDATE($G10,2)-1),"あり","なし"))))))</f>
        <v/>
      </c>
      <c r="P10" s="23">
        <f>IF($B10="","",IF($I10="なし","あり",IF($I10="あり",IF(OR($K10="更新の可能性あり",AND($J10&lt;&gt;"",$G10&lt;&gt;"",$J10-$G10+1&gt;=31)),"あり","なし"),"")))</f>
        <v/>
      </c>
      <c r="Q10" s="17" t="n"/>
      <c r="R10" s="59" t="n"/>
      <c r="S10" s="59" t="n"/>
      <c r="T10" s="59" t="n"/>
      <c r="U10" s="59" t="n"/>
      <c r="V10" s="59" t="n"/>
      <c r="W10" s="79">
        <f>IF($B10="","",SUM($S10,$T10,$U10,$V10))</f>
        <v/>
      </c>
      <c r="X10" s="23">
        <f>IF(OR('⓪ 事業所設定'!$C$9="",'⓪ 事業所設定'!$C$13="",'⓪ 事業所設定'!$C$14="",'⓪ 事業所設定'!$C$17=""),"事業所設定が未入力です",IF($B10="","",IF(AND($L10&gt;='⓪ 事業所設定'!$C$13*0.75,$M10&gt;='⓪ 事業所設定'!$C$14*0.75,$O10="あり"),"加入（一般被保険者）",IF(AND('⓪ 事業所設定'!$C$12="適用あり",$L10&gt;=20,$O10="あり",$N10&lt;&gt;"昼間部の学生",OR('⓪ 事業所設定'!$C$17&gt;=DATE(2026,10,1),($S10+$T10-N($AW10))&gt;=88000)),"加入（短時間労働者）","加入対象外"))))</f>
        <v/>
      </c>
      <c r="Y10" s="23">
        <f>IF($B10="","",TRIM(IF(AND($F10&lt;&gt;"",$F10&gt;=70,ISNUMBER(SEARCH("加入（",$X10))),"厚年対象外（70歳以上被用者該当届） ","")&amp;IF(AND($F10&lt;&gt;"",$F10&gt;=75),"健保対象外（後期高齢者医療） ","")&amp;IF(AND($F10&lt;&gt;"",$F10&gt;=65,$Z10="加入"),"雇保：高年齢被保険者 ","")))</f>
        <v/>
      </c>
      <c r="Z10" s="23">
        <f>IF($B10="","",IF($H10="役員","対象外（兼務役員なら要相談）",IF(AND($L10&gt;=20,$P10="あり",$N10&lt;&gt;"昼間部の学生"),"加入","加入対象外")))</f>
        <v/>
      </c>
      <c r="AA10" s="61" t="n"/>
      <c r="AB10" s="61" t="n"/>
      <c r="AC10" s="17" t="n"/>
      <c r="AD10" s="61" t="n"/>
      <c r="AE10" s="17" t="n"/>
      <c r="AF10" s="17" t="n"/>
      <c r="AG10" s="61" t="n"/>
      <c r="AH10" s="17" t="n"/>
      <c r="AI10" s="17" t="n"/>
      <c r="AJ10" s="17" t="n"/>
      <c r="AK10" s="17" t="n"/>
      <c r="AL10" s="17" t="n"/>
      <c r="AM10" s="17" t="n"/>
      <c r="AN10" s="67" t="n"/>
      <c r="AO10" s="17" t="n"/>
      <c r="AP10" s="17" t="n"/>
      <c r="AQ10" s="17" t="n"/>
      <c r="AR10" s="17" t="n"/>
      <c r="AT10">
        <f>IF($B10="","",IF($B10="",1,0)+IF($C10="",1,0)+IF($D10="",1,0)+IF($E10="",1,0)+IF($G10="",1,0)+IF($H10="",1,0)+IF($I10="",1,0)+IF($L10="",1,0)+IF($M10="",1,0)+IF($N10="",1,0)+IF($Q10="",1,0)+IF($S10="",1,0)+IF($AA10="",1,0)+IF($AC10="",1,0)+IF($AG10="",1,0)+IF($AH10="",1,0)+IF($AI10="",1,0)+IF($AL10="",1,0)+IF($AP10="",1,0)+IF($AQ10="",1,0)+IF(AND($I10="あり",$J10=""),1,0)+IF(AND($I10="あり",$K10=""),1,0)+IF(AND($AA10="",$AB10=""),1,0)+IF(AND($AC10="あり",$AD10=""),1,0)+IF(AND($AC10="あり",OR($AD10="",$AD10="後日提出"),$AE10=""),1,0)+IF($AV10="",1,0)+IF(AND($AL10="外国",$AM10=""),1,0)+IF(AND($AL10="外国",$AN10=""),1,0)+IF(AND($AL10="外国",$AO10=""),1,0))</f>
        <v/>
      </c>
      <c r="AU10">
        <f>IF($B10="","",IF(AND($AA10&lt;&gt;"",$AA10&lt;&gt;"後日提出",$AA10&lt;&gt;"別経路提出",LEN($AA10)&lt;&gt;12),1,0)+IF(AND($AB10&lt;&gt;"",$AB10&lt;&gt;"後日提出",LEN($AB10)&lt;&gt;10),1,0)+IF(AND($AD10&lt;&gt;"",$AD10&lt;&gt;"後日提出",LEN($AD10)&lt;&gt;11),1,0)+IF(AND($AG10&lt;&gt;"",LEN(SUBSTITUTE($AG10,"-",""))&lt;&gt;7),1,0))</f>
        <v/>
      </c>
      <c r="AV10" s="17" t="n"/>
      <c r="AW10" s="59" t="n"/>
      <c r="AX10" s="17" t="n"/>
      <c r="AY10" s="17" t="n"/>
    </row>
    <row r="11">
      <c r="A11" s="23">
        <f>IF($B11="","",ROW()-8)</f>
        <v/>
      </c>
      <c r="B11" s="17" t="n"/>
      <c r="C11" s="17" t="n"/>
      <c r="D11" s="17" t="n"/>
      <c r="E11" s="67" t="n"/>
      <c r="F11" s="58">
        <f>IF(OR($E11="",$E11&gt;80000),"",DATEDIF($E11,IF(OR($G11="",$G11&gt;80000),TODAY(),$G11),"Y"))</f>
        <v/>
      </c>
      <c r="G11" s="67" t="n"/>
      <c r="H11" s="17" t="n"/>
      <c r="I11" s="17" t="n"/>
      <c r="J11" s="67" t="n"/>
      <c r="K11" s="17" t="n"/>
      <c r="L11" s="17" t="n"/>
      <c r="M11" s="17" t="n"/>
      <c r="N11" s="17" t="n"/>
      <c r="O11" s="23">
        <f>IF($B11="","",IF($I11="なし","あり",IF($I11&lt;&gt;"あり","",IF($K11="更新の可能性あり","あり",IF(OR($J11="",$G11=""),"なし",IF(OR(NOT(ISNUMBER($G11)),NOT(ISNUMBER($J11)),$G11&gt;80000,$J11&gt;80000),"要確認（日付）",IF($J11&gt;IF(DAY(EDATE($G11,2))&lt;DAY($G11),EOMONTH($G11,2),EDATE($G11,2)-1),"あり","なし"))))))</f>
        <v/>
      </c>
      <c r="P11" s="23">
        <f>IF($B11="","",IF($I11="なし","あり",IF($I11="あり",IF(OR($K11="更新の可能性あり",AND($J11&lt;&gt;"",$G11&lt;&gt;"",$J11-$G11+1&gt;=31)),"あり","なし"),"")))</f>
        <v/>
      </c>
      <c r="Q11" s="17" t="n"/>
      <c r="R11" s="59" t="n"/>
      <c r="S11" s="59" t="n"/>
      <c r="T11" s="59" t="n"/>
      <c r="U11" s="59" t="n"/>
      <c r="V11" s="59" t="n"/>
      <c r="W11" s="79">
        <f>IF($B11="","",SUM($S11,$T11,$U11,$V11))</f>
        <v/>
      </c>
      <c r="X11" s="23">
        <f>IF(OR('⓪ 事業所設定'!$C$9="",'⓪ 事業所設定'!$C$13="",'⓪ 事業所設定'!$C$14="",'⓪ 事業所設定'!$C$17=""),"事業所設定が未入力です",IF($B11="","",IF(AND($L11&gt;='⓪ 事業所設定'!$C$13*0.75,$M11&gt;='⓪ 事業所設定'!$C$14*0.75,$O11="あり"),"加入（一般被保険者）",IF(AND('⓪ 事業所設定'!$C$12="適用あり",$L11&gt;=20,$O11="あり",$N11&lt;&gt;"昼間部の学生",OR('⓪ 事業所設定'!$C$17&gt;=DATE(2026,10,1),($S11+$T11-N($AW11))&gt;=88000)),"加入（短時間労働者）","加入対象外"))))</f>
        <v/>
      </c>
      <c r="Y11" s="23">
        <f>IF($B11="","",TRIM(IF(AND($F11&lt;&gt;"",$F11&gt;=70,ISNUMBER(SEARCH("加入（",$X11))),"厚年対象外（70歳以上被用者該当届） ","")&amp;IF(AND($F11&lt;&gt;"",$F11&gt;=75),"健保対象外（後期高齢者医療） ","")&amp;IF(AND($F11&lt;&gt;"",$F11&gt;=65,$Z11="加入"),"雇保：高年齢被保険者 ","")))</f>
        <v/>
      </c>
      <c r="Z11" s="23">
        <f>IF($B11="","",IF($H11="役員","対象外（兼務役員なら要相談）",IF(AND($L11&gt;=20,$P11="あり",$N11&lt;&gt;"昼間部の学生"),"加入","加入対象外")))</f>
        <v/>
      </c>
      <c r="AA11" s="61" t="n"/>
      <c r="AB11" s="61" t="n"/>
      <c r="AC11" s="17" t="n"/>
      <c r="AD11" s="61" t="n"/>
      <c r="AE11" s="17" t="n"/>
      <c r="AF11" s="17" t="n"/>
      <c r="AG11" s="61" t="n"/>
      <c r="AH11" s="17" t="n"/>
      <c r="AI11" s="17" t="n"/>
      <c r="AJ11" s="17" t="n"/>
      <c r="AK11" s="17" t="n"/>
      <c r="AL11" s="17" t="n"/>
      <c r="AM11" s="17" t="n"/>
      <c r="AN11" s="67" t="n"/>
      <c r="AO11" s="17" t="n"/>
      <c r="AP11" s="17" t="n"/>
      <c r="AQ11" s="17" t="n"/>
      <c r="AR11" s="17" t="n"/>
      <c r="AT11">
        <f>IF($B11="","",IF($B11="",1,0)+IF($C11="",1,0)+IF($D11="",1,0)+IF($E11="",1,0)+IF($G11="",1,0)+IF($H11="",1,0)+IF($I11="",1,0)+IF($L11="",1,0)+IF($M11="",1,0)+IF($N11="",1,0)+IF($Q11="",1,0)+IF($S11="",1,0)+IF($AA11="",1,0)+IF($AC11="",1,0)+IF($AG11="",1,0)+IF($AH11="",1,0)+IF($AI11="",1,0)+IF($AL11="",1,0)+IF($AP11="",1,0)+IF($AQ11="",1,0)+IF(AND($I11="あり",$J11=""),1,0)+IF(AND($I11="あり",$K11=""),1,0)+IF(AND($AA11="",$AB11=""),1,0)+IF(AND($AC11="あり",$AD11=""),1,0)+IF(AND($AC11="あり",OR($AD11="",$AD11="後日提出"),$AE11=""),1,0)+IF($AV11="",1,0)+IF(AND($AL11="外国",$AM11=""),1,0)+IF(AND($AL11="外国",$AN11=""),1,0)+IF(AND($AL11="外国",$AO11=""),1,0))</f>
        <v/>
      </c>
      <c r="AU11">
        <f>IF($B11="","",IF(AND($AA11&lt;&gt;"",$AA11&lt;&gt;"後日提出",$AA11&lt;&gt;"別経路提出",LEN($AA11)&lt;&gt;12),1,0)+IF(AND($AB11&lt;&gt;"",$AB11&lt;&gt;"後日提出",LEN($AB11)&lt;&gt;10),1,0)+IF(AND($AD11&lt;&gt;"",$AD11&lt;&gt;"後日提出",LEN($AD11)&lt;&gt;11),1,0)+IF(AND($AG11&lt;&gt;"",LEN(SUBSTITUTE($AG11,"-",""))&lt;&gt;7),1,0))</f>
        <v/>
      </c>
      <c r="AV11" s="17" t="n"/>
      <c r="AW11" s="59" t="n"/>
      <c r="AX11" s="17" t="n"/>
      <c r="AY11" s="17" t="n"/>
    </row>
    <row r="12">
      <c r="A12" s="23">
        <f>IF($B12="","",ROW()-8)</f>
        <v/>
      </c>
      <c r="B12" s="17" t="n"/>
      <c r="C12" s="17" t="n"/>
      <c r="D12" s="17" t="n"/>
      <c r="E12" s="67" t="n"/>
      <c r="F12" s="58">
        <f>IF(OR($E12="",$E12&gt;80000),"",DATEDIF($E12,IF(OR($G12="",$G12&gt;80000),TODAY(),$G12),"Y"))</f>
        <v/>
      </c>
      <c r="G12" s="67" t="n"/>
      <c r="H12" s="17" t="n"/>
      <c r="I12" s="17" t="n"/>
      <c r="J12" s="67" t="n"/>
      <c r="K12" s="17" t="n"/>
      <c r="L12" s="17" t="n"/>
      <c r="M12" s="17" t="n"/>
      <c r="N12" s="17" t="n"/>
      <c r="O12" s="23">
        <f>IF($B12="","",IF($I12="なし","あり",IF($I12&lt;&gt;"あり","",IF($K12="更新の可能性あり","あり",IF(OR($J12="",$G12=""),"なし",IF(OR(NOT(ISNUMBER($G12)),NOT(ISNUMBER($J12)),$G12&gt;80000,$J12&gt;80000),"要確認（日付）",IF($J12&gt;IF(DAY(EDATE($G12,2))&lt;DAY($G12),EOMONTH($G12,2),EDATE($G12,2)-1),"あり","なし"))))))</f>
        <v/>
      </c>
      <c r="P12" s="23">
        <f>IF($B12="","",IF($I12="なし","あり",IF($I12="あり",IF(OR($K12="更新の可能性あり",AND($J12&lt;&gt;"",$G12&lt;&gt;"",$J12-$G12+1&gt;=31)),"あり","なし"),"")))</f>
        <v/>
      </c>
      <c r="Q12" s="17" t="n"/>
      <c r="R12" s="59" t="n"/>
      <c r="S12" s="59" t="n"/>
      <c r="T12" s="59" t="n"/>
      <c r="U12" s="59" t="n"/>
      <c r="V12" s="59" t="n"/>
      <c r="W12" s="79">
        <f>IF($B12="","",SUM($S12,$T12,$U12,$V12))</f>
        <v/>
      </c>
      <c r="X12" s="23">
        <f>IF(OR('⓪ 事業所設定'!$C$9="",'⓪ 事業所設定'!$C$13="",'⓪ 事業所設定'!$C$14="",'⓪ 事業所設定'!$C$17=""),"事業所設定が未入力です",IF($B12="","",IF(AND($L12&gt;='⓪ 事業所設定'!$C$13*0.75,$M12&gt;='⓪ 事業所設定'!$C$14*0.75,$O12="あり"),"加入（一般被保険者）",IF(AND('⓪ 事業所設定'!$C$12="適用あり",$L12&gt;=20,$O12="あり",$N12&lt;&gt;"昼間部の学生",OR('⓪ 事業所設定'!$C$17&gt;=DATE(2026,10,1),($S12+$T12-N($AW12))&gt;=88000)),"加入（短時間労働者）","加入対象外"))))</f>
        <v/>
      </c>
      <c r="Y12" s="23">
        <f>IF($B12="","",TRIM(IF(AND($F12&lt;&gt;"",$F12&gt;=70,ISNUMBER(SEARCH("加入（",$X12))),"厚年対象外（70歳以上被用者該当届） ","")&amp;IF(AND($F12&lt;&gt;"",$F12&gt;=75),"健保対象外（後期高齢者医療） ","")&amp;IF(AND($F12&lt;&gt;"",$F12&gt;=65,$Z12="加入"),"雇保：高年齢被保険者 ","")))</f>
        <v/>
      </c>
      <c r="Z12" s="23">
        <f>IF($B12="","",IF($H12="役員","対象外（兼務役員なら要相談）",IF(AND($L12&gt;=20,$P12="あり",$N12&lt;&gt;"昼間部の学生"),"加入","加入対象外")))</f>
        <v/>
      </c>
      <c r="AA12" s="61" t="n"/>
      <c r="AB12" s="61" t="n"/>
      <c r="AC12" s="17" t="n"/>
      <c r="AD12" s="61" t="n"/>
      <c r="AE12" s="17" t="n"/>
      <c r="AF12" s="17" t="n"/>
      <c r="AG12" s="61" t="n"/>
      <c r="AH12" s="17" t="n"/>
      <c r="AI12" s="17" t="n"/>
      <c r="AJ12" s="17" t="n"/>
      <c r="AK12" s="17" t="n"/>
      <c r="AL12" s="17" t="n"/>
      <c r="AM12" s="17" t="n"/>
      <c r="AN12" s="67" t="n"/>
      <c r="AO12" s="17" t="n"/>
      <c r="AP12" s="17" t="n"/>
      <c r="AQ12" s="17" t="n"/>
      <c r="AR12" s="17" t="n"/>
      <c r="AT12">
        <f>IF($B12="","",IF($B12="",1,0)+IF($C12="",1,0)+IF($D12="",1,0)+IF($E12="",1,0)+IF($G12="",1,0)+IF($H12="",1,0)+IF($I12="",1,0)+IF($L12="",1,0)+IF($M12="",1,0)+IF($N12="",1,0)+IF($Q12="",1,0)+IF($S12="",1,0)+IF($AA12="",1,0)+IF($AC12="",1,0)+IF($AG12="",1,0)+IF($AH12="",1,0)+IF($AI12="",1,0)+IF($AL12="",1,0)+IF($AP12="",1,0)+IF($AQ12="",1,0)+IF(AND($I12="あり",$J12=""),1,0)+IF(AND($I12="あり",$K12=""),1,0)+IF(AND($AA12="",$AB12=""),1,0)+IF(AND($AC12="あり",$AD12=""),1,0)+IF(AND($AC12="あり",OR($AD12="",$AD12="後日提出"),$AE12=""),1,0)+IF($AV12="",1,0)+IF(AND($AL12="外国",$AM12=""),1,0)+IF(AND($AL12="外国",$AN12=""),1,0)+IF(AND($AL12="外国",$AO12=""),1,0))</f>
        <v/>
      </c>
      <c r="AU12">
        <f>IF($B12="","",IF(AND($AA12&lt;&gt;"",$AA12&lt;&gt;"後日提出",$AA12&lt;&gt;"別経路提出",LEN($AA12)&lt;&gt;12),1,0)+IF(AND($AB12&lt;&gt;"",$AB12&lt;&gt;"後日提出",LEN($AB12)&lt;&gt;10),1,0)+IF(AND($AD12&lt;&gt;"",$AD12&lt;&gt;"後日提出",LEN($AD12)&lt;&gt;11),1,0)+IF(AND($AG12&lt;&gt;"",LEN(SUBSTITUTE($AG12,"-",""))&lt;&gt;7),1,0))</f>
        <v/>
      </c>
      <c r="AV12" s="17" t="n"/>
      <c r="AW12" s="59" t="n"/>
      <c r="AX12" s="17" t="n"/>
      <c r="AY12" s="17" t="n"/>
    </row>
    <row r="13">
      <c r="A13" s="23">
        <f>IF($B13="","",ROW()-8)</f>
        <v/>
      </c>
      <c r="B13" s="17" t="n"/>
      <c r="C13" s="17" t="n"/>
      <c r="D13" s="17" t="n"/>
      <c r="E13" s="67" t="n"/>
      <c r="F13" s="58">
        <f>IF(OR($E13="",$E13&gt;80000),"",DATEDIF($E13,IF(OR($G13="",$G13&gt;80000),TODAY(),$G13),"Y"))</f>
        <v/>
      </c>
      <c r="G13" s="67" t="n"/>
      <c r="H13" s="17" t="n"/>
      <c r="I13" s="17" t="n"/>
      <c r="J13" s="67" t="n"/>
      <c r="K13" s="17" t="n"/>
      <c r="L13" s="17" t="n"/>
      <c r="M13" s="17" t="n"/>
      <c r="N13" s="17" t="n"/>
      <c r="O13" s="23">
        <f>IF($B13="","",IF($I13="なし","あり",IF($I13&lt;&gt;"あり","",IF($K13="更新の可能性あり","あり",IF(OR($J13="",$G13=""),"なし",IF(OR(NOT(ISNUMBER($G13)),NOT(ISNUMBER($J13)),$G13&gt;80000,$J13&gt;80000),"要確認（日付）",IF($J13&gt;IF(DAY(EDATE($G13,2))&lt;DAY($G13),EOMONTH($G13,2),EDATE($G13,2)-1),"あり","なし"))))))</f>
        <v/>
      </c>
      <c r="P13" s="23">
        <f>IF($B13="","",IF($I13="なし","あり",IF($I13="あり",IF(OR($K13="更新の可能性あり",AND($J13&lt;&gt;"",$G13&lt;&gt;"",$J13-$G13+1&gt;=31)),"あり","なし"),"")))</f>
        <v/>
      </c>
      <c r="Q13" s="17" t="n"/>
      <c r="R13" s="59" t="n"/>
      <c r="S13" s="59" t="n"/>
      <c r="T13" s="59" t="n"/>
      <c r="U13" s="59" t="n"/>
      <c r="V13" s="59" t="n"/>
      <c r="W13" s="79">
        <f>IF($B13="","",SUM($S13,$T13,$U13,$V13))</f>
        <v/>
      </c>
      <c r="X13" s="23">
        <f>IF(OR('⓪ 事業所設定'!$C$9="",'⓪ 事業所設定'!$C$13="",'⓪ 事業所設定'!$C$14="",'⓪ 事業所設定'!$C$17=""),"事業所設定が未入力です",IF($B13="","",IF(AND($L13&gt;='⓪ 事業所設定'!$C$13*0.75,$M13&gt;='⓪ 事業所設定'!$C$14*0.75,$O13="あり"),"加入（一般被保険者）",IF(AND('⓪ 事業所設定'!$C$12="適用あり",$L13&gt;=20,$O13="あり",$N13&lt;&gt;"昼間部の学生",OR('⓪ 事業所設定'!$C$17&gt;=DATE(2026,10,1),($S13+$T13-N($AW13))&gt;=88000)),"加入（短時間労働者）","加入対象外"))))</f>
        <v/>
      </c>
      <c r="Y13" s="23">
        <f>IF($B13="","",TRIM(IF(AND($F13&lt;&gt;"",$F13&gt;=70,ISNUMBER(SEARCH("加入（",$X13))),"厚年対象外（70歳以上被用者該当届） ","")&amp;IF(AND($F13&lt;&gt;"",$F13&gt;=75),"健保対象外（後期高齢者医療） ","")&amp;IF(AND($F13&lt;&gt;"",$F13&gt;=65,$Z13="加入"),"雇保：高年齢被保険者 ","")))</f>
        <v/>
      </c>
      <c r="Z13" s="23">
        <f>IF($B13="","",IF($H13="役員","対象外（兼務役員なら要相談）",IF(AND($L13&gt;=20,$P13="あり",$N13&lt;&gt;"昼間部の学生"),"加入","加入対象外")))</f>
        <v/>
      </c>
      <c r="AA13" s="61" t="n"/>
      <c r="AB13" s="61" t="n"/>
      <c r="AC13" s="17" t="n"/>
      <c r="AD13" s="61" t="n"/>
      <c r="AE13" s="17" t="n"/>
      <c r="AF13" s="17" t="n"/>
      <c r="AG13" s="61" t="n"/>
      <c r="AH13" s="17" t="n"/>
      <c r="AI13" s="17" t="n"/>
      <c r="AJ13" s="17" t="n"/>
      <c r="AK13" s="17" t="n"/>
      <c r="AL13" s="17" t="n"/>
      <c r="AM13" s="17" t="n"/>
      <c r="AN13" s="67" t="n"/>
      <c r="AO13" s="17" t="n"/>
      <c r="AP13" s="17" t="n"/>
      <c r="AQ13" s="17" t="n"/>
      <c r="AR13" s="17" t="n"/>
      <c r="AT13">
        <f>IF($B13="","",IF($B13="",1,0)+IF($C13="",1,0)+IF($D13="",1,0)+IF($E13="",1,0)+IF($G13="",1,0)+IF($H13="",1,0)+IF($I13="",1,0)+IF($L13="",1,0)+IF($M13="",1,0)+IF($N13="",1,0)+IF($Q13="",1,0)+IF($S13="",1,0)+IF($AA13="",1,0)+IF($AC13="",1,0)+IF($AG13="",1,0)+IF($AH13="",1,0)+IF($AI13="",1,0)+IF($AL13="",1,0)+IF($AP13="",1,0)+IF($AQ13="",1,0)+IF(AND($I13="あり",$J13=""),1,0)+IF(AND($I13="あり",$K13=""),1,0)+IF(AND($AA13="",$AB13=""),1,0)+IF(AND($AC13="あり",$AD13=""),1,0)+IF(AND($AC13="あり",OR($AD13="",$AD13="後日提出"),$AE13=""),1,0)+IF($AV13="",1,0)+IF(AND($AL13="外国",$AM13=""),1,0)+IF(AND($AL13="外国",$AN13=""),1,0)+IF(AND($AL13="外国",$AO13=""),1,0))</f>
        <v/>
      </c>
      <c r="AU13">
        <f>IF($B13="","",IF(AND($AA13&lt;&gt;"",$AA13&lt;&gt;"後日提出",$AA13&lt;&gt;"別経路提出",LEN($AA13)&lt;&gt;12),1,0)+IF(AND($AB13&lt;&gt;"",$AB13&lt;&gt;"後日提出",LEN($AB13)&lt;&gt;10),1,0)+IF(AND($AD13&lt;&gt;"",$AD13&lt;&gt;"後日提出",LEN($AD13)&lt;&gt;11),1,0)+IF(AND($AG13&lt;&gt;"",LEN(SUBSTITUTE($AG13,"-",""))&lt;&gt;7),1,0))</f>
        <v/>
      </c>
      <c r="AV13" s="17" t="n"/>
      <c r="AW13" s="59" t="n"/>
      <c r="AX13" s="17" t="n"/>
      <c r="AY13" s="17" t="n"/>
    </row>
    <row r="14">
      <c r="A14" s="23">
        <f>IF($B14="","",ROW()-8)</f>
        <v/>
      </c>
      <c r="B14" s="17" t="n"/>
      <c r="C14" s="17" t="n"/>
      <c r="D14" s="17" t="n"/>
      <c r="E14" s="67" t="n"/>
      <c r="F14" s="58">
        <f>IF(OR($E14="",$E14&gt;80000),"",DATEDIF($E14,IF(OR($G14="",$G14&gt;80000),TODAY(),$G14),"Y"))</f>
        <v/>
      </c>
      <c r="G14" s="67" t="n"/>
      <c r="H14" s="17" t="n"/>
      <c r="I14" s="17" t="n"/>
      <c r="J14" s="67" t="n"/>
      <c r="K14" s="17" t="n"/>
      <c r="L14" s="17" t="n"/>
      <c r="M14" s="17" t="n"/>
      <c r="N14" s="17" t="n"/>
      <c r="O14" s="23">
        <f>IF($B14="","",IF($I14="なし","あり",IF($I14&lt;&gt;"あり","",IF($K14="更新の可能性あり","あり",IF(OR($J14="",$G14=""),"なし",IF(OR(NOT(ISNUMBER($G14)),NOT(ISNUMBER($J14)),$G14&gt;80000,$J14&gt;80000),"要確認（日付）",IF($J14&gt;IF(DAY(EDATE($G14,2))&lt;DAY($G14),EOMONTH($G14,2),EDATE($G14,2)-1),"あり","なし"))))))</f>
        <v/>
      </c>
      <c r="P14" s="23">
        <f>IF($B14="","",IF($I14="なし","あり",IF($I14="あり",IF(OR($K14="更新の可能性あり",AND($J14&lt;&gt;"",$G14&lt;&gt;"",$J14-$G14+1&gt;=31)),"あり","なし"),"")))</f>
        <v/>
      </c>
      <c r="Q14" s="17" t="n"/>
      <c r="R14" s="59" t="n"/>
      <c r="S14" s="59" t="n"/>
      <c r="T14" s="59" t="n"/>
      <c r="U14" s="59" t="n"/>
      <c r="V14" s="59" t="n"/>
      <c r="W14" s="79">
        <f>IF($B14="","",SUM($S14,$T14,$U14,$V14))</f>
        <v/>
      </c>
      <c r="X14" s="23">
        <f>IF(OR('⓪ 事業所設定'!$C$9="",'⓪ 事業所設定'!$C$13="",'⓪ 事業所設定'!$C$14="",'⓪ 事業所設定'!$C$17=""),"事業所設定が未入力です",IF($B14="","",IF(AND($L14&gt;='⓪ 事業所設定'!$C$13*0.75,$M14&gt;='⓪ 事業所設定'!$C$14*0.75,$O14="あり"),"加入（一般被保険者）",IF(AND('⓪ 事業所設定'!$C$12="適用あり",$L14&gt;=20,$O14="あり",$N14&lt;&gt;"昼間部の学生",OR('⓪ 事業所設定'!$C$17&gt;=DATE(2026,10,1),($S14+$T14-N($AW14))&gt;=88000)),"加入（短時間労働者）","加入対象外"))))</f>
        <v/>
      </c>
      <c r="Y14" s="23">
        <f>IF($B14="","",TRIM(IF(AND($F14&lt;&gt;"",$F14&gt;=70,ISNUMBER(SEARCH("加入（",$X14))),"厚年対象外（70歳以上被用者該当届） ","")&amp;IF(AND($F14&lt;&gt;"",$F14&gt;=75),"健保対象外（後期高齢者医療） ","")&amp;IF(AND($F14&lt;&gt;"",$F14&gt;=65,$Z14="加入"),"雇保：高年齢被保険者 ","")))</f>
        <v/>
      </c>
      <c r="Z14" s="23">
        <f>IF($B14="","",IF($H14="役員","対象外（兼務役員なら要相談）",IF(AND($L14&gt;=20,$P14="あり",$N14&lt;&gt;"昼間部の学生"),"加入","加入対象外")))</f>
        <v/>
      </c>
      <c r="AA14" s="61" t="n"/>
      <c r="AB14" s="61" t="n"/>
      <c r="AC14" s="17" t="n"/>
      <c r="AD14" s="61" t="n"/>
      <c r="AE14" s="17" t="n"/>
      <c r="AF14" s="17" t="n"/>
      <c r="AG14" s="61" t="n"/>
      <c r="AH14" s="17" t="n"/>
      <c r="AI14" s="17" t="n"/>
      <c r="AJ14" s="17" t="n"/>
      <c r="AK14" s="17" t="n"/>
      <c r="AL14" s="17" t="n"/>
      <c r="AM14" s="17" t="n"/>
      <c r="AN14" s="67" t="n"/>
      <c r="AO14" s="17" t="n"/>
      <c r="AP14" s="17" t="n"/>
      <c r="AQ14" s="17" t="n"/>
      <c r="AR14" s="17" t="n"/>
      <c r="AT14">
        <f>IF($B14="","",IF($B14="",1,0)+IF($C14="",1,0)+IF($D14="",1,0)+IF($E14="",1,0)+IF($G14="",1,0)+IF($H14="",1,0)+IF($I14="",1,0)+IF($L14="",1,0)+IF($M14="",1,0)+IF($N14="",1,0)+IF($Q14="",1,0)+IF($S14="",1,0)+IF($AA14="",1,0)+IF($AC14="",1,0)+IF($AG14="",1,0)+IF($AH14="",1,0)+IF($AI14="",1,0)+IF($AL14="",1,0)+IF($AP14="",1,0)+IF($AQ14="",1,0)+IF(AND($I14="あり",$J14=""),1,0)+IF(AND($I14="あり",$K14=""),1,0)+IF(AND($AA14="",$AB14=""),1,0)+IF(AND($AC14="あり",$AD14=""),1,0)+IF(AND($AC14="あり",OR($AD14="",$AD14="後日提出"),$AE14=""),1,0)+IF($AV14="",1,0)+IF(AND($AL14="外国",$AM14=""),1,0)+IF(AND($AL14="外国",$AN14=""),1,0)+IF(AND($AL14="外国",$AO14=""),1,0))</f>
        <v/>
      </c>
      <c r="AU14">
        <f>IF($B14="","",IF(AND($AA14&lt;&gt;"",$AA14&lt;&gt;"後日提出",$AA14&lt;&gt;"別経路提出",LEN($AA14)&lt;&gt;12),1,0)+IF(AND($AB14&lt;&gt;"",$AB14&lt;&gt;"後日提出",LEN($AB14)&lt;&gt;10),1,0)+IF(AND($AD14&lt;&gt;"",$AD14&lt;&gt;"後日提出",LEN($AD14)&lt;&gt;11),1,0)+IF(AND($AG14&lt;&gt;"",LEN(SUBSTITUTE($AG14,"-",""))&lt;&gt;7),1,0))</f>
        <v/>
      </c>
      <c r="AV14" s="17" t="n"/>
      <c r="AW14" s="59" t="n"/>
      <c r="AX14" s="17" t="n"/>
      <c r="AY14" s="17" t="n"/>
    </row>
    <row r="15">
      <c r="A15" s="23">
        <f>IF($B15="","",ROW()-8)</f>
        <v/>
      </c>
      <c r="B15" s="17" t="n"/>
      <c r="C15" s="17" t="n"/>
      <c r="D15" s="17" t="n"/>
      <c r="E15" s="67" t="n"/>
      <c r="F15" s="58">
        <f>IF(OR($E15="",$E15&gt;80000),"",DATEDIF($E15,IF(OR($G15="",$G15&gt;80000),TODAY(),$G15),"Y"))</f>
        <v/>
      </c>
      <c r="G15" s="67" t="n"/>
      <c r="H15" s="17" t="n"/>
      <c r="I15" s="17" t="n"/>
      <c r="J15" s="67" t="n"/>
      <c r="K15" s="17" t="n"/>
      <c r="L15" s="17" t="n"/>
      <c r="M15" s="17" t="n"/>
      <c r="N15" s="17" t="n"/>
      <c r="O15" s="23">
        <f>IF($B15="","",IF($I15="なし","あり",IF($I15&lt;&gt;"あり","",IF($K15="更新の可能性あり","あり",IF(OR($J15="",$G15=""),"なし",IF(OR(NOT(ISNUMBER($G15)),NOT(ISNUMBER($J15)),$G15&gt;80000,$J15&gt;80000),"要確認（日付）",IF($J15&gt;IF(DAY(EDATE($G15,2))&lt;DAY($G15),EOMONTH($G15,2),EDATE($G15,2)-1),"あり","なし"))))))</f>
        <v/>
      </c>
      <c r="P15" s="23">
        <f>IF($B15="","",IF($I15="なし","あり",IF($I15="あり",IF(OR($K15="更新の可能性あり",AND($J15&lt;&gt;"",$G15&lt;&gt;"",$J15-$G15+1&gt;=31)),"あり","なし"),"")))</f>
        <v/>
      </c>
      <c r="Q15" s="17" t="n"/>
      <c r="R15" s="59" t="n"/>
      <c r="S15" s="59" t="n"/>
      <c r="T15" s="59" t="n"/>
      <c r="U15" s="59" t="n"/>
      <c r="V15" s="59" t="n"/>
      <c r="W15" s="79">
        <f>IF($B15="","",SUM($S15,$T15,$U15,$V15))</f>
        <v/>
      </c>
      <c r="X15" s="23">
        <f>IF(OR('⓪ 事業所設定'!$C$9="",'⓪ 事業所設定'!$C$13="",'⓪ 事業所設定'!$C$14="",'⓪ 事業所設定'!$C$17=""),"事業所設定が未入力です",IF($B15="","",IF(AND($L15&gt;='⓪ 事業所設定'!$C$13*0.75,$M15&gt;='⓪ 事業所設定'!$C$14*0.75,$O15="あり"),"加入（一般被保険者）",IF(AND('⓪ 事業所設定'!$C$12="適用あり",$L15&gt;=20,$O15="あり",$N15&lt;&gt;"昼間部の学生",OR('⓪ 事業所設定'!$C$17&gt;=DATE(2026,10,1),($S15+$T15-N($AW15))&gt;=88000)),"加入（短時間労働者）","加入対象外"))))</f>
        <v/>
      </c>
      <c r="Y15" s="23">
        <f>IF($B15="","",TRIM(IF(AND($F15&lt;&gt;"",$F15&gt;=70,ISNUMBER(SEARCH("加入（",$X15))),"厚年対象外（70歳以上被用者該当届） ","")&amp;IF(AND($F15&lt;&gt;"",$F15&gt;=75),"健保対象外（後期高齢者医療） ","")&amp;IF(AND($F15&lt;&gt;"",$F15&gt;=65,$Z15="加入"),"雇保：高年齢被保険者 ","")))</f>
        <v/>
      </c>
      <c r="Z15" s="23">
        <f>IF($B15="","",IF($H15="役員","対象外（兼務役員なら要相談）",IF(AND($L15&gt;=20,$P15="あり",$N15&lt;&gt;"昼間部の学生"),"加入","加入対象外")))</f>
        <v/>
      </c>
      <c r="AA15" s="61" t="n"/>
      <c r="AB15" s="61" t="n"/>
      <c r="AC15" s="17" t="n"/>
      <c r="AD15" s="61" t="n"/>
      <c r="AE15" s="17" t="n"/>
      <c r="AF15" s="17" t="n"/>
      <c r="AG15" s="61" t="n"/>
      <c r="AH15" s="17" t="n"/>
      <c r="AI15" s="17" t="n"/>
      <c r="AJ15" s="17" t="n"/>
      <c r="AK15" s="17" t="n"/>
      <c r="AL15" s="17" t="n"/>
      <c r="AM15" s="17" t="n"/>
      <c r="AN15" s="67" t="n"/>
      <c r="AO15" s="17" t="n"/>
      <c r="AP15" s="17" t="n"/>
      <c r="AQ15" s="17" t="n"/>
      <c r="AR15" s="17" t="n"/>
      <c r="AT15">
        <f>IF($B15="","",IF($B15="",1,0)+IF($C15="",1,0)+IF($D15="",1,0)+IF($E15="",1,0)+IF($G15="",1,0)+IF($H15="",1,0)+IF($I15="",1,0)+IF($L15="",1,0)+IF($M15="",1,0)+IF($N15="",1,0)+IF($Q15="",1,0)+IF($S15="",1,0)+IF($AA15="",1,0)+IF($AC15="",1,0)+IF($AG15="",1,0)+IF($AH15="",1,0)+IF($AI15="",1,0)+IF($AL15="",1,0)+IF($AP15="",1,0)+IF($AQ15="",1,0)+IF(AND($I15="あり",$J15=""),1,0)+IF(AND($I15="あり",$K15=""),1,0)+IF(AND($AA15="",$AB15=""),1,0)+IF(AND($AC15="あり",$AD15=""),1,0)+IF(AND($AC15="あり",OR($AD15="",$AD15="後日提出"),$AE15=""),1,0)+IF($AV15="",1,0)+IF(AND($AL15="外国",$AM15=""),1,0)+IF(AND($AL15="外国",$AN15=""),1,0)+IF(AND($AL15="外国",$AO15=""),1,0))</f>
        <v/>
      </c>
      <c r="AU15">
        <f>IF($B15="","",IF(AND($AA15&lt;&gt;"",$AA15&lt;&gt;"後日提出",$AA15&lt;&gt;"別経路提出",LEN($AA15)&lt;&gt;12),1,0)+IF(AND($AB15&lt;&gt;"",$AB15&lt;&gt;"後日提出",LEN($AB15)&lt;&gt;10),1,0)+IF(AND($AD15&lt;&gt;"",$AD15&lt;&gt;"後日提出",LEN($AD15)&lt;&gt;11),1,0)+IF(AND($AG15&lt;&gt;"",LEN(SUBSTITUTE($AG15,"-",""))&lt;&gt;7),1,0))</f>
        <v/>
      </c>
      <c r="AV15" s="17" t="n"/>
      <c r="AW15" s="59" t="n"/>
      <c r="AX15" s="17" t="n"/>
      <c r="AY15" s="17" t="n"/>
    </row>
    <row r="16">
      <c r="A16" s="23">
        <f>IF($B16="","",ROW()-8)</f>
        <v/>
      </c>
      <c r="B16" s="17" t="n"/>
      <c r="C16" s="17" t="n"/>
      <c r="D16" s="17" t="n"/>
      <c r="E16" s="67" t="n"/>
      <c r="F16" s="58">
        <f>IF(OR($E16="",$E16&gt;80000),"",DATEDIF($E16,IF(OR($G16="",$G16&gt;80000),TODAY(),$G16),"Y"))</f>
        <v/>
      </c>
      <c r="G16" s="67" t="n"/>
      <c r="H16" s="17" t="n"/>
      <c r="I16" s="17" t="n"/>
      <c r="J16" s="67" t="n"/>
      <c r="K16" s="17" t="n"/>
      <c r="L16" s="17" t="n"/>
      <c r="M16" s="17" t="n"/>
      <c r="N16" s="17" t="n"/>
      <c r="O16" s="23">
        <f>IF($B16="","",IF($I16="なし","あり",IF($I16&lt;&gt;"あり","",IF($K16="更新の可能性あり","あり",IF(OR($J16="",$G16=""),"なし",IF(OR(NOT(ISNUMBER($G16)),NOT(ISNUMBER($J16)),$G16&gt;80000,$J16&gt;80000),"要確認（日付）",IF($J16&gt;IF(DAY(EDATE($G16,2))&lt;DAY($G16),EOMONTH($G16,2),EDATE($G16,2)-1),"あり","なし"))))))</f>
        <v/>
      </c>
      <c r="P16" s="23">
        <f>IF($B16="","",IF($I16="なし","あり",IF($I16="あり",IF(OR($K16="更新の可能性あり",AND($J16&lt;&gt;"",$G16&lt;&gt;"",$J16-$G16+1&gt;=31)),"あり","なし"),"")))</f>
        <v/>
      </c>
      <c r="Q16" s="17" t="n"/>
      <c r="R16" s="59" t="n"/>
      <c r="S16" s="59" t="n"/>
      <c r="T16" s="59" t="n"/>
      <c r="U16" s="59" t="n"/>
      <c r="V16" s="59" t="n"/>
      <c r="W16" s="79">
        <f>IF($B16="","",SUM($S16,$T16,$U16,$V16))</f>
        <v/>
      </c>
      <c r="X16" s="23">
        <f>IF(OR('⓪ 事業所設定'!$C$9="",'⓪ 事業所設定'!$C$13="",'⓪ 事業所設定'!$C$14="",'⓪ 事業所設定'!$C$17=""),"事業所設定が未入力です",IF($B16="","",IF(AND($L16&gt;='⓪ 事業所設定'!$C$13*0.75,$M16&gt;='⓪ 事業所設定'!$C$14*0.75,$O16="あり"),"加入（一般被保険者）",IF(AND('⓪ 事業所設定'!$C$12="適用あり",$L16&gt;=20,$O16="あり",$N16&lt;&gt;"昼間部の学生",OR('⓪ 事業所設定'!$C$17&gt;=DATE(2026,10,1),($S16+$T16-N($AW16))&gt;=88000)),"加入（短時間労働者）","加入対象外"))))</f>
        <v/>
      </c>
      <c r="Y16" s="23">
        <f>IF($B16="","",TRIM(IF(AND($F16&lt;&gt;"",$F16&gt;=70,ISNUMBER(SEARCH("加入（",$X16))),"厚年対象外（70歳以上被用者該当届） ","")&amp;IF(AND($F16&lt;&gt;"",$F16&gt;=75),"健保対象外（後期高齢者医療） ","")&amp;IF(AND($F16&lt;&gt;"",$F16&gt;=65,$Z16="加入"),"雇保：高年齢被保険者 ","")))</f>
        <v/>
      </c>
      <c r="Z16" s="23">
        <f>IF($B16="","",IF($H16="役員","対象外（兼務役員なら要相談）",IF(AND($L16&gt;=20,$P16="あり",$N16&lt;&gt;"昼間部の学生"),"加入","加入対象外")))</f>
        <v/>
      </c>
      <c r="AA16" s="61" t="n"/>
      <c r="AB16" s="61" t="n"/>
      <c r="AC16" s="17" t="n"/>
      <c r="AD16" s="61" t="n"/>
      <c r="AE16" s="17" t="n"/>
      <c r="AF16" s="17" t="n"/>
      <c r="AG16" s="61" t="n"/>
      <c r="AH16" s="17" t="n"/>
      <c r="AI16" s="17" t="n"/>
      <c r="AJ16" s="17" t="n"/>
      <c r="AK16" s="17" t="n"/>
      <c r="AL16" s="17" t="n"/>
      <c r="AM16" s="17" t="n"/>
      <c r="AN16" s="67" t="n"/>
      <c r="AO16" s="17" t="n"/>
      <c r="AP16" s="17" t="n"/>
      <c r="AQ16" s="17" t="n"/>
      <c r="AR16" s="17" t="n"/>
      <c r="AT16">
        <f>IF($B16="","",IF($B16="",1,0)+IF($C16="",1,0)+IF($D16="",1,0)+IF($E16="",1,0)+IF($G16="",1,0)+IF($H16="",1,0)+IF($I16="",1,0)+IF($L16="",1,0)+IF($M16="",1,0)+IF($N16="",1,0)+IF($Q16="",1,0)+IF($S16="",1,0)+IF($AA16="",1,0)+IF($AC16="",1,0)+IF($AG16="",1,0)+IF($AH16="",1,0)+IF($AI16="",1,0)+IF($AL16="",1,0)+IF($AP16="",1,0)+IF($AQ16="",1,0)+IF(AND($I16="あり",$J16=""),1,0)+IF(AND($I16="あり",$K16=""),1,0)+IF(AND($AA16="",$AB16=""),1,0)+IF(AND($AC16="あり",$AD16=""),1,0)+IF(AND($AC16="あり",OR($AD16="",$AD16="後日提出"),$AE16=""),1,0)+IF($AV16="",1,0)+IF(AND($AL16="外国",$AM16=""),1,0)+IF(AND($AL16="外国",$AN16=""),1,0)+IF(AND($AL16="外国",$AO16=""),1,0))</f>
        <v/>
      </c>
      <c r="AU16">
        <f>IF($B16="","",IF(AND($AA16&lt;&gt;"",$AA16&lt;&gt;"後日提出",$AA16&lt;&gt;"別経路提出",LEN($AA16)&lt;&gt;12),1,0)+IF(AND($AB16&lt;&gt;"",$AB16&lt;&gt;"後日提出",LEN($AB16)&lt;&gt;10),1,0)+IF(AND($AD16&lt;&gt;"",$AD16&lt;&gt;"後日提出",LEN($AD16)&lt;&gt;11),1,0)+IF(AND($AG16&lt;&gt;"",LEN(SUBSTITUTE($AG16,"-",""))&lt;&gt;7),1,0))</f>
        <v/>
      </c>
      <c r="AV16" s="17" t="n"/>
      <c r="AW16" s="59" t="n"/>
      <c r="AX16" s="17" t="n"/>
      <c r="AY16" s="17" t="n"/>
    </row>
    <row r="17">
      <c r="A17" s="23">
        <f>IF($B17="","",ROW()-8)</f>
        <v/>
      </c>
      <c r="B17" s="17" t="n"/>
      <c r="C17" s="17" t="n"/>
      <c r="D17" s="17" t="n"/>
      <c r="E17" s="67" t="n"/>
      <c r="F17" s="58">
        <f>IF(OR($E17="",$E17&gt;80000),"",DATEDIF($E17,IF(OR($G17="",$G17&gt;80000),TODAY(),$G17),"Y"))</f>
        <v/>
      </c>
      <c r="G17" s="67" t="n"/>
      <c r="H17" s="17" t="n"/>
      <c r="I17" s="17" t="n"/>
      <c r="J17" s="67" t="n"/>
      <c r="K17" s="17" t="n"/>
      <c r="L17" s="17" t="n"/>
      <c r="M17" s="17" t="n"/>
      <c r="N17" s="17" t="n"/>
      <c r="O17" s="23">
        <f>IF($B17="","",IF($I17="なし","あり",IF($I17&lt;&gt;"あり","",IF($K17="更新の可能性あり","あり",IF(OR($J17="",$G17=""),"なし",IF(OR(NOT(ISNUMBER($G17)),NOT(ISNUMBER($J17)),$G17&gt;80000,$J17&gt;80000),"要確認（日付）",IF($J17&gt;IF(DAY(EDATE($G17,2))&lt;DAY($G17),EOMONTH($G17,2),EDATE($G17,2)-1),"あり","なし"))))))</f>
        <v/>
      </c>
      <c r="P17" s="23">
        <f>IF($B17="","",IF($I17="なし","あり",IF($I17="あり",IF(OR($K17="更新の可能性あり",AND($J17&lt;&gt;"",$G17&lt;&gt;"",$J17-$G17+1&gt;=31)),"あり","なし"),"")))</f>
        <v/>
      </c>
      <c r="Q17" s="17" t="n"/>
      <c r="R17" s="59" t="n"/>
      <c r="S17" s="59" t="n"/>
      <c r="T17" s="59" t="n"/>
      <c r="U17" s="59" t="n"/>
      <c r="V17" s="59" t="n"/>
      <c r="W17" s="79">
        <f>IF($B17="","",SUM($S17,$T17,$U17,$V17))</f>
        <v/>
      </c>
      <c r="X17" s="23">
        <f>IF(OR('⓪ 事業所設定'!$C$9="",'⓪ 事業所設定'!$C$13="",'⓪ 事業所設定'!$C$14="",'⓪ 事業所設定'!$C$17=""),"事業所設定が未入力です",IF($B17="","",IF(AND($L17&gt;='⓪ 事業所設定'!$C$13*0.75,$M17&gt;='⓪ 事業所設定'!$C$14*0.75,$O17="あり"),"加入（一般被保険者）",IF(AND('⓪ 事業所設定'!$C$12="適用あり",$L17&gt;=20,$O17="あり",$N17&lt;&gt;"昼間部の学生",OR('⓪ 事業所設定'!$C$17&gt;=DATE(2026,10,1),($S17+$T17-N($AW17))&gt;=88000)),"加入（短時間労働者）","加入対象外"))))</f>
        <v/>
      </c>
      <c r="Y17" s="23">
        <f>IF($B17="","",TRIM(IF(AND($F17&lt;&gt;"",$F17&gt;=70,ISNUMBER(SEARCH("加入（",$X17))),"厚年対象外（70歳以上被用者該当届） ","")&amp;IF(AND($F17&lt;&gt;"",$F17&gt;=75),"健保対象外（後期高齢者医療） ","")&amp;IF(AND($F17&lt;&gt;"",$F17&gt;=65,$Z17="加入"),"雇保：高年齢被保険者 ","")))</f>
        <v/>
      </c>
      <c r="Z17" s="23">
        <f>IF($B17="","",IF($H17="役員","対象外（兼務役員なら要相談）",IF(AND($L17&gt;=20,$P17="あり",$N17&lt;&gt;"昼間部の学生"),"加入","加入対象外")))</f>
        <v/>
      </c>
      <c r="AA17" s="61" t="n"/>
      <c r="AB17" s="61" t="n"/>
      <c r="AC17" s="17" t="n"/>
      <c r="AD17" s="61" t="n"/>
      <c r="AE17" s="17" t="n"/>
      <c r="AF17" s="17" t="n"/>
      <c r="AG17" s="61" t="n"/>
      <c r="AH17" s="17" t="n"/>
      <c r="AI17" s="17" t="n"/>
      <c r="AJ17" s="17" t="n"/>
      <c r="AK17" s="17" t="n"/>
      <c r="AL17" s="17" t="n"/>
      <c r="AM17" s="17" t="n"/>
      <c r="AN17" s="67" t="n"/>
      <c r="AO17" s="17" t="n"/>
      <c r="AP17" s="17" t="n"/>
      <c r="AQ17" s="17" t="n"/>
      <c r="AR17" s="17" t="n"/>
      <c r="AT17">
        <f>IF($B17="","",IF($B17="",1,0)+IF($C17="",1,0)+IF($D17="",1,0)+IF($E17="",1,0)+IF($G17="",1,0)+IF($H17="",1,0)+IF($I17="",1,0)+IF($L17="",1,0)+IF($M17="",1,0)+IF($N17="",1,0)+IF($Q17="",1,0)+IF($S17="",1,0)+IF($AA17="",1,0)+IF($AC17="",1,0)+IF($AG17="",1,0)+IF($AH17="",1,0)+IF($AI17="",1,0)+IF($AL17="",1,0)+IF($AP17="",1,0)+IF($AQ17="",1,0)+IF(AND($I17="あり",$J17=""),1,0)+IF(AND($I17="あり",$K17=""),1,0)+IF(AND($AA17="",$AB17=""),1,0)+IF(AND($AC17="あり",$AD17=""),1,0)+IF(AND($AC17="あり",OR($AD17="",$AD17="後日提出"),$AE17=""),1,0)+IF($AV17="",1,0)+IF(AND($AL17="外国",$AM17=""),1,0)+IF(AND($AL17="外国",$AN17=""),1,0)+IF(AND($AL17="外国",$AO17=""),1,0))</f>
        <v/>
      </c>
      <c r="AU17">
        <f>IF($B17="","",IF(AND($AA17&lt;&gt;"",$AA17&lt;&gt;"後日提出",$AA17&lt;&gt;"別経路提出",LEN($AA17)&lt;&gt;12),1,0)+IF(AND($AB17&lt;&gt;"",$AB17&lt;&gt;"後日提出",LEN($AB17)&lt;&gt;10),1,0)+IF(AND($AD17&lt;&gt;"",$AD17&lt;&gt;"後日提出",LEN($AD17)&lt;&gt;11),1,0)+IF(AND($AG17&lt;&gt;"",LEN(SUBSTITUTE($AG17,"-",""))&lt;&gt;7),1,0))</f>
        <v/>
      </c>
      <c r="AV17" s="17" t="n"/>
      <c r="AW17" s="59" t="n"/>
      <c r="AX17" s="17" t="n"/>
      <c r="AY17" s="17" t="n"/>
    </row>
    <row r="18">
      <c r="A18" s="23">
        <f>IF($B18="","",ROW()-8)</f>
        <v/>
      </c>
      <c r="B18" s="17" t="n"/>
      <c r="C18" s="17" t="n"/>
      <c r="D18" s="17" t="n"/>
      <c r="E18" s="67" t="n"/>
      <c r="F18" s="58">
        <f>IF(OR($E18="",$E18&gt;80000),"",DATEDIF($E18,IF(OR($G18="",$G18&gt;80000),TODAY(),$G18),"Y"))</f>
        <v/>
      </c>
      <c r="G18" s="67" t="n"/>
      <c r="H18" s="17" t="n"/>
      <c r="I18" s="17" t="n"/>
      <c r="J18" s="67" t="n"/>
      <c r="K18" s="17" t="n"/>
      <c r="L18" s="17" t="n"/>
      <c r="M18" s="17" t="n"/>
      <c r="N18" s="17" t="n"/>
      <c r="O18" s="23">
        <f>IF($B18="","",IF($I18="なし","あり",IF($I18&lt;&gt;"あり","",IF($K18="更新の可能性あり","あり",IF(OR($J18="",$G18=""),"なし",IF(OR(NOT(ISNUMBER($G18)),NOT(ISNUMBER($J18)),$G18&gt;80000,$J18&gt;80000),"要確認（日付）",IF($J18&gt;IF(DAY(EDATE($G18,2))&lt;DAY($G18),EOMONTH($G18,2),EDATE($G18,2)-1),"あり","なし"))))))</f>
        <v/>
      </c>
      <c r="P18" s="23">
        <f>IF($B18="","",IF($I18="なし","あり",IF($I18="あり",IF(OR($K18="更新の可能性あり",AND($J18&lt;&gt;"",$G18&lt;&gt;"",$J18-$G18+1&gt;=31)),"あり","なし"),"")))</f>
        <v/>
      </c>
      <c r="Q18" s="17" t="n"/>
      <c r="R18" s="59" t="n"/>
      <c r="S18" s="59" t="n"/>
      <c r="T18" s="59" t="n"/>
      <c r="U18" s="59" t="n"/>
      <c r="V18" s="59" t="n"/>
      <c r="W18" s="79">
        <f>IF($B18="","",SUM($S18,$T18,$U18,$V18))</f>
        <v/>
      </c>
      <c r="X18" s="23">
        <f>IF(OR('⓪ 事業所設定'!$C$9="",'⓪ 事業所設定'!$C$13="",'⓪ 事業所設定'!$C$14="",'⓪ 事業所設定'!$C$17=""),"事業所設定が未入力です",IF($B18="","",IF(AND($L18&gt;='⓪ 事業所設定'!$C$13*0.75,$M18&gt;='⓪ 事業所設定'!$C$14*0.75,$O18="あり"),"加入（一般被保険者）",IF(AND('⓪ 事業所設定'!$C$12="適用あり",$L18&gt;=20,$O18="あり",$N18&lt;&gt;"昼間部の学生",OR('⓪ 事業所設定'!$C$17&gt;=DATE(2026,10,1),($S18+$T18-N($AW18))&gt;=88000)),"加入（短時間労働者）","加入対象外"))))</f>
        <v/>
      </c>
      <c r="Y18" s="23">
        <f>IF($B18="","",TRIM(IF(AND($F18&lt;&gt;"",$F18&gt;=70,ISNUMBER(SEARCH("加入（",$X18))),"厚年対象外（70歳以上被用者該当届） ","")&amp;IF(AND($F18&lt;&gt;"",$F18&gt;=75),"健保対象外（後期高齢者医療） ","")&amp;IF(AND($F18&lt;&gt;"",$F18&gt;=65,$Z18="加入"),"雇保：高年齢被保険者 ","")))</f>
        <v/>
      </c>
      <c r="Z18" s="23">
        <f>IF($B18="","",IF($H18="役員","対象外（兼務役員なら要相談）",IF(AND($L18&gt;=20,$P18="あり",$N18&lt;&gt;"昼間部の学生"),"加入","加入対象外")))</f>
        <v/>
      </c>
      <c r="AA18" s="61" t="n"/>
      <c r="AB18" s="61" t="n"/>
      <c r="AC18" s="17" t="n"/>
      <c r="AD18" s="61" t="n"/>
      <c r="AE18" s="17" t="n"/>
      <c r="AF18" s="17" t="n"/>
      <c r="AG18" s="61" t="n"/>
      <c r="AH18" s="17" t="n"/>
      <c r="AI18" s="17" t="n"/>
      <c r="AJ18" s="17" t="n"/>
      <c r="AK18" s="17" t="n"/>
      <c r="AL18" s="17" t="n"/>
      <c r="AM18" s="17" t="n"/>
      <c r="AN18" s="67" t="n"/>
      <c r="AO18" s="17" t="n"/>
      <c r="AP18" s="17" t="n"/>
      <c r="AQ18" s="17" t="n"/>
      <c r="AR18" s="17" t="n"/>
      <c r="AT18">
        <f>IF($B18="","",IF($B18="",1,0)+IF($C18="",1,0)+IF($D18="",1,0)+IF($E18="",1,0)+IF($G18="",1,0)+IF($H18="",1,0)+IF($I18="",1,0)+IF($L18="",1,0)+IF($M18="",1,0)+IF($N18="",1,0)+IF($Q18="",1,0)+IF($S18="",1,0)+IF($AA18="",1,0)+IF($AC18="",1,0)+IF($AG18="",1,0)+IF($AH18="",1,0)+IF($AI18="",1,0)+IF($AL18="",1,0)+IF($AP18="",1,0)+IF($AQ18="",1,0)+IF(AND($I18="あり",$J18=""),1,0)+IF(AND($I18="あり",$K18=""),1,0)+IF(AND($AA18="",$AB18=""),1,0)+IF(AND($AC18="あり",$AD18=""),1,0)+IF(AND($AC18="あり",OR($AD18="",$AD18="後日提出"),$AE18=""),1,0)+IF($AV18="",1,0)+IF(AND($AL18="外国",$AM18=""),1,0)+IF(AND($AL18="外国",$AN18=""),1,0)+IF(AND($AL18="外国",$AO18=""),1,0))</f>
        <v/>
      </c>
      <c r="AU18">
        <f>IF($B18="","",IF(AND($AA18&lt;&gt;"",$AA18&lt;&gt;"後日提出",$AA18&lt;&gt;"別経路提出",LEN($AA18)&lt;&gt;12),1,0)+IF(AND($AB18&lt;&gt;"",$AB18&lt;&gt;"後日提出",LEN($AB18)&lt;&gt;10),1,0)+IF(AND($AD18&lt;&gt;"",$AD18&lt;&gt;"後日提出",LEN($AD18)&lt;&gt;11),1,0)+IF(AND($AG18&lt;&gt;"",LEN(SUBSTITUTE($AG18,"-",""))&lt;&gt;7),1,0))</f>
        <v/>
      </c>
      <c r="AV18" s="17" t="n"/>
      <c r="AW18" s="59" t="n"/>
      <c r="AX18" s="17" t="n"/>
      <c r="AY18" s="17" t="n"/>
    </row>
    <row r="19">
      <c r="A19" s="23">
        <f>IF($B19="","",ROW()-8)</f>
        <v/>
      </c>
      <c r="B19" s="17" t="n"/>
      <c r="C19" s="17" t="n"/>
      <c r="D19" s="17" t="n"/>
      <c r="E19" s="67" t="n"/>
      <c r="F19" s="58">
        <f>IF(OR($E19="",$E19&gt;80000),"",DATEDIF($E19,IF(OR($G19="",$G19&gt;80000),TODAY(),$G19),"Y"))</f>
        <v/>
      </c>
      <c r="G19" s="67" t="n"/>
      <c r="H19" s="17" t="n"/>
      <c r="I19" s="17" t="n"/>
      <c r="J19" s="67" t="n"/>
      <c r="K19" s="17" t="n"/>
      <c r="L19" s="17" t="n"/>
      <c r="M19" s="17" t="n"/>
      <c r="N19" s="17" t="n"/>
      <c r="O19" s="23">
        <f>IF($B19="","",IF($I19="なし","あり",IF($I19&lt;&gt;"あり","",IF($K19="更新の可能性あり","あり",IF(OR($J19="",$G19=""),"なし",IF(OR(NOT(ISNUMBER($G19)),NOT(ISNUMBER($J19)),$G19&gt;80000,$J19&gt;80000),"要確認（日付）",IF($J19&gt;IF(DAY(EDATE($G19,2))&lt;DAY($G19),EOMONTH($G19,2),EDATE($G19,2)-1),"あり","なし"))))))</f>
        <v/>
      </c>
      <c r="P19" s="23">
        <f>IF($B19="","",IF($I19="なし","あり",IF($I19="あり",IF(OR($K19="更新の可能性あり",AND($J19&lt;&gt;"",$G19&lt;&gt;"",$J19-$G19+1&gt;=31)),"あり","なし"),"")))</f>
        <v/>
      </c>
      <c r="Q19" s="17" t="n"/>
      <c r="R19" s="59" t="n"/>
      <c r="S19" s="59" t="n"/>
      <c r="T19" s="59" t="n"/>
      <c r="U19" s="59" t="n"/>
      <c r="V19" s="59" t="n"/>
      <c r="W19" s="79">
        <f>IF($B19="","",SUM($S19,$T19,$U19,$V19))</f>
        <v/>
      </c>
      <c r="X19" s="23">
        <f>IF(OR('⓪ 事業所設定'!$C$9="",'⓪ 事業所設定'!$C$13="",'⓪ 事業所設定'!$C$14="",'⓪ 事業所設定'!$C$17=""),"事業所設定が未入力です",IF($B19="","",IF(AND($L19&gt;='⓪ 事業所設定'!$C$13*0.75,$M19&gt;='⓪ 事業所設定'!$C$14*0.75,$O19="あり"),"加入（一般被保険者）",IF(AND('⓪ 事業所設定'!$C$12="適用あり",$L19&gt;=20,$O19="あり",$N19&lt;&gt;"昼間部の学生",OR('⓪ 事業所設定'!$C$17&gt;=DATE(2026,10,1),($S19+$T19-N($AW19))&gt;=88000)),"加入（短時間労働者）","加入対象外"))))</f>
        <v/>
      </c>
      <c r="Y19" s="23">
        <f>IF($B19="","",TRIM(IF(AND($F19&lt;&gt;"",$F19&gt;=70,ISNUMBER(SEARCH("加入（",$X19))),"厚年対象外（70歳以上被用者該当届） ","")&amp;IF(AND($F19&lt;&gt;"",$F19&gt;=75),"健保対象外（後期高齢者医療） ","")&amp;IF(AND($F19&lt;&gt;"",$F19&gt;=65,$Z19="加入"),"雇保：高年齢被保険者 ","")))</f>
        <v/>
      </c>
      <c r="Z19" s="23">
        <f>IF($B19="","",IF($H19="役員","対象外（兼務役員なら要相談）",IF(AND($L19&gt;=20,$P19="あり",$N19&lt;&gt;"昼間部の学生"),"加入","加入対象外")))</f>
        <v/>
      </c>
      <c r="AA19" s="61" t="n"/>
      <c r="AB19" s="61" t="n"/>
      <c r="AC19" s="17" t="n"/>
      <c r="AD19" s="61" t="n"/>
      <c r="AE19" s="17" t="n"/>
      <c r="AF19" s="17" t="n"/>
      <c r="AG19" s="61" t="n"/>
      <c r="AH19" s="17" t="n"/>
      <c r="AI19" s="17" t="n"/>
      <c r="AJ19" s="17" t="n"/>
      <c r="AK19" s="17" t="n"/>
      <c r="AL19" s="17" t="n"/>
      <c r="AM19" s="17" t="n"/>
      <c r="AN19" s="67" t="n"/>
      <c r="AO19" s="17" t="n"/>
      <c r="AP19" s="17" t="n"/>
      <c r="AQ19" s="17" t="n"/>
      <c r="AR19" s="17" t="n"/>
      <c r="AT19">
        <f>IF($B19="","",IF($B19="",1,0)+IF($C19="",1,0)+IF($D19="",1,0)+IF($E19="",1,0)+IF($G19="",1,0)+IF($H19="",1,0)+IF($I19="",1,0)+IF($L19="",1,0)+IF($M19="",1,0)+IF($N19="",1,0)+IF($Q19="",1,0)+IF($S19="",1,0)+IF($AA19="",1,0)+IF($AC19="",1,0)+IF($AG19="",1,0)+IF($AH19="",1,0)+IF($AI19="",1,0)+IF($AL19="",1,0)+IF($AP19="",1,0)+IF($AQ19="",1,0)+IF(AND($I19="あり",$J19=""),1,0)+IF(AND($I19="あり",$K19=""),1,0)+IF(AND($AA19="",$AB19=""),1,0)+IF(AND($AC19="あり",$AD19=""),1,0)+IF(AND($AC19="あり",OR($AD19="",$AD19="後日提出"),$AE19=""),1,0)+IF($AV19="",1,0)+IF(AND($AL19="外国",$AM19=""),1,0)+IF(AND($AL19="外国",$AN19=""),1,0)+IF(AND($AL19="外国",$AO19=""),1,0))</f>
        <v/>
      </c>
      <c r="AU19">
        <f>IF($B19="","",IF(AND($AA19&lt;&gt;"",$AA19&lt;&gt;"後日提出",$AA19&lt;&gt;"別経路提出",LEN($AA19)&lt;&gt;12),1,0)+IF(AND($AB19&lt;&gt;"",$AB19&lt;&gt;"後日提出",LEN($AB19)&lt;&gt;10),1,0)+IF(AND($AD19&lt;&gt;"",$AD19&lt;&gt;"後日提出",LEN($AD19)&lt;&gt;11),1,0)+IF(AND($AG19&lt;&gt;"",LEN(SUBSTITUTE($AG19,"-",""))&lt;&gt;7),1,0))</f>
        <v/>
      </c>
      <c r="AV19" s="17" t="n"/>
      <c r="AW19" s="59" t="n"/>
      <c r="AX19" s="17" t="n"/>
      <c r="AY19" s="17" t="n"/>
    </row>
    <row r="20">
      <c r="A20" s="23">
        <f>IF($B20="","",ROW()-8)</f>
        <v/>
      </c>
      <c r="B20" s="17" t="n"/>
      <c r="C20" s="17" t="n"/>
      <c r="D20" s="17" t="n"/>
      <c r="E20" s="67" t="n"/>
      <c r="F20" s="58">
        <f>IF(OR($E20="",$E20&gt;80000),"",DATEDIF($E20,IF(OR($G20="",$G20&gt;80000),TODAY(),$G20),"Y"))</f>
        <v/>
      </c>
      <c r="G20" s="67" t="n"/>
      <c r="H20" s="17" t="n"/>
      <c r="I20" s="17" t="n"/>
      <c r="J20" s="67" t="n"/>
      <c r="K20" s="17" t="n"/>
      <c r="L20" s="17" t="n"/>
      <c r="M20" s="17" t="n"/>
      <c r="N20" s="17" t="n"/>
      <c r="O20" s="23">
        <f>IF($B20="","",IF($I20="なし","あり",IF($I20&lt;&gt;"あり","",IF($K20="更新の可能性あり","あり",IF(OR($J20="",$G20=""),"なし",IF(OR(NOT(ISNUMBER($G20)),NOT(ISNUMBER($J20)),$G20&gt;80000,$J20&gt;80000),"要確認（日付）",IF($J20&gt;IF(DAY(EDATE($G20,2))&lt;DAY($G20),EOMONTH($G20,2),EDATE($G20,2)-1),"あり","なし"))))))</f>
        <v/>
      </c>
      <c r="P20" s="23">
        <f>IF($B20="","",IF($I20="なし","あり",IF($I20="あり",IF(OR($K20="更新の可能性あり",AND($J20&lt;&gt;"",$G20&lt;&gt;"",$J20-$G20+1&gt;=31)),"あり","なし"),"")))</f>
        <v/>
      </c>
      <c r="Q20" s="17" t="n"/>
      <c r="R20" s="59" t="n"/>
      <c r="S20" s="59" t="n"/>
      <c r="T20" s="59" t="n"/>
      <c r="U20" s="59" t="n"/>
      <c r="V20" s="59" t="n"/>
      <c r="W20" s="79">
        <f>IF($B20="","",SUM($S20,$T20,$U20,$V20))</f>
        <v/>
      </c>
      <c r="X20" s="23">
        <f>IF(OR('⓪ 事業所設定'!$C$9="",'⓪ 事業所設定'!$C$13="",'⓪ 事業所設定'!$C$14="",'⓪ 事業所設定'!$C$17=""),"事業所設定が未入力です",IF($B20="","",IF(AND($L20&gt;='⓪ 事業所設定'!$C$13*0.75,$M20&gt;='⓪ 事業所設定'!$C$14*0.75,$O20="あり"),"加入（一般被保険者）",IF(AND('⓪ 事業所設定'!$C$12="適用あり",$L20&gt;=20,$O20="あり",$N20&lt;&gt;"昼間部の学生",OR('⓪ 事業所設定'!$C$17&gt;=DATE(2026,10,1),($S20+$T20-N($AW20))&gt;=88000)),"加入（短時間労働者）","加入対象外"))))</f>
        <v/>
      </c>
      <c r="Y20" s="23">
        <f>IF($B20="","",TRIM(IF(AND($F20&lt;&gt;"",$F20&gt;=70,ISNUMBER(SEARCH("加入（",$X20))),"厚年対象外（70歳以上被用者該当届） ","")&amp;IF(AND($F20&lt;&gt;"",$F20&gt;=75),"健保対象外（後期高齢者医療） ","")&amp;IF(AND($F20&lt;&gt;"",$F20&gt;=65,$Z20="加入"),"雇保：高年齢被保険者 ","")))</f>
        <v/>
      </c>
      <c r="Z20" s="23">
        <f>IF($B20="","",IF($H20="役員","対象外（兼務役員なら要相談）",IF(AND($L20&gt;=20,$P20="あり",$N20&lt;&gt;"昼間部の学生"),"加入","加入対象外")))</f>
        <v/>
      </c>
      <c r="AA20" s="61" t="n"/>
      <c r="AB20" s="61" t="n"/>
      <c r="AC20" s="17" t="n"/>
      <c r="AD20" s="61" t="n"/>
      <c r="AE20" s="17" t="n"/>
      <c r="AF20" s="17" t="n"/>
      <c r="AG20" s="61" t="n"/>
      <c r="AH20" s="17" t="n"/>
      <c r="AI20" s="17" t="n"/>
      <c r="AJ20" s="17" t="n"/>
      <c r="AK20" s="17" t="n"/>
      <c r="AL20" s="17" t="n"/>
      <c r="AM20" s="17" t="n"/>
      <c r="AN20" s="67" t="n"/>
      <c r="AO20" s="17" t="n"/>
      <c r="AP20" s="17" t="n"/>
      <c r="AQ20" s="17" t="n"/>
      <c r="AR20" s="17" t="n"/>
      <c r="AT20">
        <f>IF($B20="","",IF($B20="",1,0)+IF($C20="",1,0)+IF($D20="",1,0)+IF($E20="",1,0)+IF($G20="",1,0)+IF($H20="",1,0)+IF($I20="",1,0)+IF($L20="",1,0)+IF($M20="",1,0)+IF($N20="",1,0)+IF($Q20="",1,0)+IF($S20="",1,0)+IF($AA20="",1,0)+IF($AC20="",1,0)+IF($AG20="",1,0)+IF($AH20="",1,0)+IF($AI20="",1,0)+IF($AL20="",1,0)+IF($AP20="",1,0)+IF($AQ20="",1,0)+IF(AND($I20="あり",$J20=""),1,0)+IF(AND($I20="あり",$K20=""),1,0)+IF(AND($AA20="",$AB20=""),1,0)+IF(AND($AC20="あり",$AD20=""),1,0)+IF(AND($AC20="あり",OR($AD20="",$AD20="後日提出"),$AE20=""),1,0)+IF($AV20="",1,0)+IF(AND($AL20="外国",$AM20=""),1,0)+IF(AND($AL20="外国",$AN20=""),1,0)+IF(AND($AL20="外国",$AO20=""),1,0))</f>
        <v/>
      </c>
      <c r="AU20">
        <f>IF($B20="","",IF(AND($AA20&lt;&gt;"",$AA20&lt;&gt;"後日提出",$AA20&lt;&gt;"別経路提出",LEN($AA20)&lt;&gt;12),1,0)+IF(AND($AB20&lt;&gt;"",$AB20&lt;&gt;"後日提出",LEN($AB20)&lt;&gt;10),1,0)+IF(AND($AD20&lt;&gt;"",$AD20&lt;&gt;"後日提出",LEN($AD20)&lt;&gt;11),1,0)+IF(AND($AG20&lt;&gt;"",LEN(SUBSTITUTE($AG20,"-",""))&lt;&gt;7),1,0))</f>
        <v/>
      </c>
      <c r="AV20" s="17" t="n"/>
      <c r="AW20" s="59" t="n"/>
      <c r="AX20" s="17" t="n"/>
      <c r="AY20" s="17" t="n"/>
    </row>
    <row r="21">
      <c r="A21" s="23">
        <f>IF($B21="","",ROW()-8)</f>
        <v/>
      </c>
      <c r="B21" s="17" t="n"/>
      <c r="C21" s="17" t="n"/>
      <c r="D21" s="17" t="n"/>
      <c r="E21" s="67" t="n"/>
      <c r="F21" s="58">
        <f>IF(OR($E21="",$E21&gt;80000),"",DATEDIF($E21,IF(OR($G21="",$G21&gt;80000),TODAY(),$G21),"Y"))</f>
        <v/>
      </c>
      <c r="G21" s="67" t="n"/>
      <c r="H21" s="17" t="n"/>
      <c r="I21" s="17" t="n"/>
      <c r="J21" s="67" t="n"/>
      <c r="K21" s="17" t="n"/>
      <c r="L21" s="17" t="n"/>
      <c r="M21" s="17" t="n"/>
      <c r="N21" s="17" t="n"/>
      <c r="O21" s="23">
        <f>IF($B21="","",IF($I21="なし","あり",IF($I21&lt;&gt;"あり","",IF($K21="更新の可能性あり","あり",IF(OR($J21="",$G21=""),"なし",IF(OR(NOT(ISNUMBER($G21)),NOT(ISNUMBER($J21)),$G21&gt;80000,$J21&gt;80000),"要確認（日付）",IF($J21&gt;IF(DAY(EDATE($G21,2))&lt;DAY($G21),EOMONTH($G21,2),EDATE($G21,2)-1),"あり","なし"))))))</f>
        <v/>
      </c>
      <c r="P21" s="23">
        <f>IF($B21="","",IF($I21="なし","あり",IF($I21="あり",IF(OR($K21="更新の可能性あり",AND($J21&lt;&gt;"",$G21&lt;&gt;"",$J21-$G21+1&gt;=31)),"あり","なし"),"")))</f>
        <v/>
      </c>
      <c r="Q21" s="17" t="n"/>
      <c r="R21" s="59" t="n"/>
      <c r="S21" s="59" t="n"/>
      <c r="T21" s="59" t="n"/>
      <c r="U21" s="59" t="n"/>
      <c r="V21" s="59" t="n"/>
      <c r="W21" s="79">
        <f>IF($B21="","",SUM($S21,$T21,$U21,$V21))</f>
        <v/>
      </c>
      <c r="X21" s="23">
        <f>IF(OR('⓪ 事業所設定'!$C$9="",'⓪ 事業所設定'!$C$13="",'⓪ 事業所設定'!$C$14="",'⓪ 事業所設定'!$C$17=""),"事業所設定が未入力です",IF($B21="","",IF(AND($L21&gt;='⓪ 事業所設定'!$C$13*0.75,$M21&gt;='⓪ 事業所設定'!$C$14*0.75,$O21="あり"),"加入（一般被保険者）",IF(AND('⓪ 事業所設定'!$C$12="適用あり",$L21&gt;=20,$O21="あり",$N21&lt;&gt;"昼間部の学生",OR('⓪ 事業所設定'!$C$17&gt;=DATE(2026,10,1),($S21+$T21-N($AW21))&gt;=88000)),"加入（短時間労働者）","加入対象外"))))</f>
        <v/>
      </c>
      <c r="Y21" s="23">
        <f>IF($B21="","",TRIM(IF(AND($F21&lt;&gt;"",$F21&gt;=70,ISNUMBER(SEARCH("加入（",$X21))),"厚年対象外（70歳以上被用者該当届） ","")&amp;IF(AND($F21&lt;&gt;"",$F21&gt;=75),"健保対象外（後期高齢者医療） ","")&amp;IF(AND($F21&lt;&gt;"",$F21&gt;=65,$Z21="加入"),"雇保：高年齢被保険者 ","")))</f>
        <v/>
      </c>
      <c r="Z21" s="23">
        <f>IF($B21="","",IF($H21="役員","対象外（兼務役員なら要相談）",IF(AND($L21&gt;=20,$P21="あり",$N21&lt;&gt;"昼間部の学生"),"加入","加入対象外")))</f>
        <v/>
      </c>
      <c r="AA21" s="61" t="n"/>
      <c r="AB21" s="61" t="n"/>
      <c r="AC21" s="17" t="n"/>
      <c r="AD21" s="61" t="n"/>
      <c r="AE21" s="17" t="n"/>
      <c r="AF21" s="17" t="n"/>
      <c r="AG21" s="61" t="n"/>
      <c r="AH21" s="17" t="n"/>
      <c r="AI21" s="17" t="n"/>
      <c r="AJ21" s="17" t="n"/>
      <c r="AK21" s="17" t="n"/>
      <c r="AL21" s="17" t="n"/>
      <c r="AM21" s="17" t="n"/>
      <c r="AN21" s="67" t="n"/>
      <c r="AO21" s="17" t="n"/>
      <c r="AP21" s="17" t="n"/>
      <c r="AQ21" s="17" t="n"/>
      <c r="AR21" s="17" t="n"/>
      <c r="AT21">
        <f>IF($B21="","",IF($B21="",1,0)+IF($C21="",1,0)+IF($D21="",1,0)+IF($E21="",1,0)+IF($G21="",1,0)+IF($H21="",1,0)+IF($I21="",1,0)+IF($L21="",1,0)+IF($M21="",1,0)+IF($N21="",1,0)+IF($Q21="",1,0)+IF($S21="",1,0)+IF($AA21="",1,0)+IF($AC21="",1,0)+IF($AG21="",1,0)+IF($AH21="",1,0)+IF($AI21="",1,0)+IF($AL21="",1,0)+IF($AP21="",1,0)+IF($AQ21="",1,0)+IF(AND($I21="あり",$J21=""),1,0)+IF(AND($I21="あり",$K21=""),1,0)+IF(AND($AA21="",$AB21=""),1,0)+IF(AND($AC21="あり",$AD21=""),1,0)+IF(AND($AC21="あり",OR($AD21="",$AD21="後日提出"),$AE21=""),1,0)+IF($AV21="",1,0)+IF(AND($AL21="外国",$AM21=""),1,0)+IF(AND($AL21="外国",$AN21=""),1,0)+IF(AND($AL21="外国",$AO21=""),1,0))</f>
        <v/>
      </c>
      <c r="AU21">
        <f>IF($B21="","",IF(AND($AA21&lt;&gt;"",$AA21&lt;&gt;"後日提出",$AA21&lt;&gt;"別経路提出",LEN($AA21)&lt;&gt;12),1,0)+IF(AND($AB21&lt;&gt;"",$AB21&lt;&gt;"後日提出",LEN($AB21)&lt;&gt;10),1,0)+IF(AND($AD21&lt;&gt;"",$AD21&lt;&gt;"後日提出",LEN($AD21)&lt;&gt;11),1,0)+IF(AND($AG21&lt;&gt;"",LEN(SUBSTITUTE($AG21,"-",""))&lt;&gt;7),1,0))</f>
        <v/>
      </c>
      <c r="AV21" s="17" t="n"/>
      <c r="AW21" s="59" t="n"/>
      <c r="AX21" s="17" t="n"/>
      <c r="AY21" s="17" t="n"/>
    </row>
    <row r="22">
      <c r="A22" s="23">
        <f>IF($B22="","",ROW()-8)</f>
        <v/>
      </c>
      <c r="B22" s="17" t="n"/>
      <c r="C22" s="17" t="n"/>
      <c r="D22" s="17" t="n"/>
      <c r="E22" s="67" t="n"/>
      <c r="F22" s="58">
        <f>IF(OR($E22="",$E22&gt;80000),"",DATEDIF($E22,IF(OR($G22="",$G22&gt;80000),TODAY(),$G22),"Y"))</f>
        <v/>
      </c>
      <c r="G22" s="67" t="n"/>
      <c r="H22" s="17" t="n"/>
      <c r="I22" s="17" t="n"/>
      <c r="J22" s="67" t="n"/>
      <c r="K22" s="17" t="n"/>
      <c r="L22" s="17" t="n"/>
      <c r="M22" s="17" t="n"/>
      <c r="N22" s="17" t="n"/>
      <c r="O22" s="23">
        <f>IF($B22="","",IF($I22="なし","あり",IF($I22&lt;&gt;"あり","",IF($K22="更新の可能性あり","あり",IF(OR($J22="",$G22=""),"なし",IF(OR(NOT(ISNUMBER($G22)),NOT(ISNUMBER($J22)),$G22&gt;80000,$J22&gt;80000),"要確認（日付）",IF($J22&gt;IF(DAY(EDATE($G22,2))&lt;DAY($G22),EOMONTH($G22,2),EDATE($G22,2)-1),"あり","なし"))))))</f>
        <v/>
      </c>
      <c r="P22" s="23">
        <f>IF($B22="","",IF($I22="なし","あり",IF($I22="あり",IF(OR($K22="更新の可能性あり",AND($J22&lt;&gt;"",$G22&lt;&gt;"",$J22-$G22+1&gt;=31)),"あり","なし"),"")))</f>
        <v/>
      </c>
      <c r="Q22" s="17" t="n"/>
      <c r="R22" s="59" t="n"/>
      <c r="S22" s="59" t="n"/>
      <c r="T22" s="59" t="n"/>
      <c r="U22" s="59" t="n"/>
      <c r="V22" s="59" t="n"/>
      <c r="W22" s="79">
        <f>IF($B22="","",SUM($S22,$T22,$U22,$V22))</f>
        <v/>
      </c>
      <c r="X22" s="23">
        <f>IF(OR('⓪ 事業所設定'!$C$9="",'⓪ 事業所設定'!$C$13="",'⓪ 事業所設定'!$C$14="",'⓪ 事業所設定'!$C$17=""),"事業所設定が未入力です",IF($B22="","",IF(AND($L22&gt;='⓪ 事業所設定'!$C$13*0.75,$M22&gt;='⓪ 事業所設定'!$C$14*0.75,$O22="あり"),"加入（一般被保険者）",IF(AND('⓪ 事業所設定'!$C$12="適用あり",$L22&gt;=20,$O22="あり",$N22&lt;&gt;"昼間部の学生",OR('⓪ 事業所設定'!$C$17&gt;=DATE(2026,10,1),($S22+$T22-N($AW22))&gt;=88000)),"加入（短時間労働者）","加入対象外"))))</f>
        <v/>
      </c>
      <c r="Y22" s="23">
        <f>IF($B22="","",TRIM(IF(AND($F22&lt;&gt;"",$F22&gt;=70,ISNUMBER(SEARCH("加入（",$X22))),"厚年対象外（70歳以上被用者該当届） ","")&amp;IF(AND($F22&lt;&gt;"",$F22&gt;=75),"健保対象外（後期高齢者医療） ","")&amp;IF(AND($F22&lt;&gt;"",$F22&gt;=65,$Z22="加入"),"雇保：高年齢被保険者 ","")))</f>
        <v/>
      </c>
      <c r="Z22" s="23">
        <f>IF($B22="","",IF($H22="役員","対象外（兼務役員なら要相談）",IF(AND($L22&gt;=20,$P22="あり",$N22&lt;&gt;"昼間部の学生"),"加入","加入対象外")))</f>
        <v/>
      </c>
      <c r="AA22" s="61" t="n"/>
      <c r="AB22" s="61" t="n"/>
      <c r="AC22" s="17" t="n"/>
      <c r="AD22" s="61" t="n"/>
      <c r="AE22" s="17" t="n"/>
      <c r="AF22" s="17" t="n"/>
      <c r="AG22" s="61" t="n"/>
      <c r="AH22" s="17" t="n"/>
      <c r="AI22" s="17" t="n"/>
      <c r="AJ22" s="17" t="n"/>
      <c r="AK22" s="17" t="n"/>
      <c r="AL22" s="17" t="n"/>
      <c r="AM22" s="17" t="n"/>
      <c r="AN22" s="67" t="n"/>
      <c r="AO22" s="17" t="n"/>
      <c r="AP22" s="17" t="n"/>
      <c r="AQ22" s="17" t="n"/>
      <c r="AR22" s="17" t="n"/>
      <c r="AT22">
        <f>IF($B22="","",IF($B22="",1,0)+IF($C22="",1,0)+IF($D22="",1,0)+IF($E22="",1,0)+IF($G22="",1,0)+IF($H22="",1,0)+IF($I22="",1,0)+IF($L22="",1,0)+IF($M22="",1,0)+IF($N22="",1,0)+IF($Q22="",1,0)+IF($S22="",1,0)+IF($AA22="",1,0)+IF($AC22="",1,0)+IF($AG22="",1,0)+IF($AH22="",1,0)+IF($AI22="",1,0)+IF($AL22="",1,0)+IF($AP22="",1,0)+IF($AQ22="",1,0)+IF(AND($I22="あり",$J22=""),1,0)+IF(AND($I22="あり",$K22=""),1,0)+IF(AND($AA22="",$AB22=""),1,0)+IF(AND($AC22="あり",$AD22=""),1,0)+IF(AND($AC22="あり",OR($AD22="",$AD22="後日提出"),$AE22=""),1,0)+IF($AV22="",1,0)+IF(AND($AL22="外国",$AM22=""),1,0)+IF(AND($AL22="外国",$AN22=""),1,0)+IF(AND($AL22="外国",$AO22=""),1,0))</f>
        <v/>
      </c>
      <c r="AU22">
        <f>IF($B22="","",IF(AND($AA22&lt;&gt;"",$AA22&lt;&gt;"後日提出",$AA22&lt;&gt;"別経路提出",LEN($AA22)&lt;&gt;12),1,0)+IF(AND($AB22&lt;&gt;"",$AB22&lt;&gt;"後日提出",LEN($AB22)&lt;&gt;10),1,0)+IF(AND($AD22&lt;&gt;"",$AD22&lt;&gt;"後日提出",LEN($AD22)&lt;&gt;11),1,0)+IF(AND($AG22&lt;&gt;"",LEN(SUBSTITUTE($AG22,"-",""))&lt;&gt;7),1,0))</f>
        <v/>
      </c>
      <c r="AV22" s="17" t="n"/>
      <c r="AW22" s="59" t="n"/>
      <c r="AX22" s="17" t="n"/>
      <c r="AY22" s="17" t="n"/>
    </row>
    <row r="23">
      <c r="A23" s="23">
        <f>IF($B23="","",ROW()-8)</f>
        <v/>
      </c>
      <c r="B23" s="17" t="n"/>
      <c r="C23" s="17" t="n"/>
      <c r="D23" s="17" t="n"/>
      <c r="E23" s="67" t="n"/>
      <c r="F23" s="58">
        <f>IF(OR($E23="",$E23&gt;80000),"",DATEDIF($E23,IF(OR($G23="",$G23&gt;80000),TODAY(),$G23),"Y"))</f>
        <v/>
      </c>
      <c r="G23" s="67" t="n"/>
      <c r="H23" s="17" t="n"/>
      <c r="I23" s="17" t="n"/>
      <c r="J23" s="67" t="n"/>
      <c r="K23" s="17" t="n"/>
      <c r="L23" s="17" t="n"/>
      <c r="M23" s="17" t="n"/>
      <c r="N23" s="17" t="n"/>
      <c r="O23" s="23">
        <f>IF($B23="","",IF($I23="なし","あり",IF($I23&lt;&gt;"あり","",IF($K23="更新の可能性あり","あり",IF(OR($J23="",$G23=""),"なし",IF(OR(NOT(ISNUMBER($G23)),NOT(ISNUMBER($J23)),$G23&gt;80000,$J23&gt;80000),"要確認（日付）",IF($J23&gt;IF(DAY(EDATE($G23,2))&lt;DAY($G23),EOMONTH($G23,2),EDATE($G23,2)-1),"あり","なし"))))))</f>
        <v/>
      </c>
      <c r="P23" s="23">
        <f>IF($B23="","",IF($I23="なし","あり",IF($I23="あり",IF(OR($K23="更新の可能性あり",AND($J23&lt;&gt;"",$G23&lt;&gt;"",$J23-$G23+1&gt;=31)),"あり","なし"),"")))</f>
        <v/>
      </c>
      <c r="Q23" s="17" t="n"/>
      <c r="R23" s="59" t="n"/>
      <c r="S23" s="59" t="n"/>
      <c r="T23" s="59" t="n"/>
      <c r="U23" s="59" t="n"/>
      <c r="V23" s="59" t="n"/>
      <c r="W23" s="79">
        <f>IF($B23="","",SUM($S23,$T23,$U23,$V23))</f>
        <v/>
      </c>
      <c r="X23" s="23">
        <f>IF(OR('⓪ 事業所設定'!$C$9="",'⓪ 事業所設定'!$C$13="",'⓪ 事業所設定'!$C$14="",'⓪ 事業所設定'!$C$17=""),"事業所設定が未入力です",IF($B23="","",IF(AND($L23&gt;='⓪ 事業所設定'!$C$13*0.75,$M23&gt;='⓪ 事業所設定'!$C$14*0.75,$O23="あり"),"加入（一般被保険者）",IF(AND('⓪ 事業所設定'!$C$12="適用あり",$L23&gt;=20,$O23="あり",$N23&lt;&gt;"昼間部の学生",OR('⓪ 事業所設定'!$C$17&gt;=DATE(2026,10,1),($S23+$T23-N($AW23))&gt;=88000)),"加入（短時間労働者）","加入対象外"))))</f>
        <v/>
      </c>
      <c r="Y23" s="23">
        <f>IF($B23="","",TRIM(IF(AND($F23&lt;&gt;"",$F23&gt;=70,ISNUMBER(SEARCH("加入（",$X23))),"厚年対象外（70歳以上被用者該当届） ","")&amp;IF(AND($F23&lt;&gt;"",$F23&gt;=75),"健保対象外（後期高齢者医療） ","")&amp;IF(AND($F23&lt;&gt;"",$F23&gt;=65,$Z23="加入"),"雇保：高年齢被保険者 ","")))</f>
        <v/>
      </c>
      <c r="Z23" s="23">
        <f>IF($B23="","",IF($H23="役員","対象外（兼務役員なら要相談）",IF(AND($L23&gt;=20,$P23="あり",$N23&lt;&gt;"昼間部の学生"),"加入","加入対象外")))</f>
        <v/>
      </c>
      <c r="AA23" s="61" t="n"/>
      <c r="AB23" s="61" t="n"/>
      <c r="AC23" s="17" t="n"/>
      <c r="AD23" s="61" t="n"/>
      <c r="AE23" s="17" t="n"/>
      <c r="AF23" s="17" t="n"/>
      <c r="AG23" s="61" t="n"/>
      <c r="AH23" s="17" t="n"/>
      <c r="AI23" s="17" t="n"/>
      <c r="AJ23" s="17" t="n"/>
      <c r="AK23" s="17" t="n"/>
      <c r="AL23" s="17" t="n"/>
      <c r="AM23" s="17" t="n"/>
      <c r="AN23" s="67" t="n"/>
      <c r="AO23" s="17" t="n"/>
      <c r="AP23" s="17" t="n"/>
      <c r="AQ23" s="17" t="n"/>
      <c r="AR23" s="17" t="n"/>
      <c r="AT23">
        <f>IF($B23="","",IF($B23="",1,0)+IF($C23="",1,0)+IF($D23="",1,0)+IF($E23="",1,0)+IF($G23="",1,0)+IF($H23="",1,0)+IF($I23="",1,0)+IF($L23="",1,0)+IF($M23="",1,0)+IF($N23="",1,0)+IF($Q23="",1,0)+IF($S23="",1,0)+IF($AA23="",1,0)+IF($AC23="",1,0)+IF($AG23="",1,0)+IF($AH23="",1,0)+IF($AI23="",1,0)+IF($AL23="",1,0)+IF($AP23="",1,0)+IF($AQ23="",1,0)+IF(AND($I23="あり",$J23=""),1,0)+IF(AND($I23="あり",$K23=""),1,0)+IF(AND($AA23="",$AB23=""),1,0)+IF(AND($AC23="あり",$AD23=""),1,0)+IF(AND($AC23="あり",OR($AD23="",$AD23="後日提出"),$AE23=""),1,0)+IF($AV23="",1,0)+IF(AND($AL23="外国",$AM23=""),1,0)+IF(AND($AL23="外国",$AN23=""),1,0)+IF(AND($AL23="外国",$AO23=""),1,0))</f>
        <v/>
      </c>
      <c r="AU23">
        <f>IF($B23="","",IF(AND($AA23&lt;&gt;"",$AA23&lt;&gt;"後日提出",$AA23&lt;&gt;"別経路提出",LEN($AA23)&lt;&gt;12),1,0)+IF(AND($AB23&lt;&gt;"",$AB23&lt;&gt;"後日提出",LEN($AB23)&lt;&gt;10),1,0)+IF(AND($AD23&lt;&gt;"",$AD23&lt;&gt;"後日提出",LEN($AD23)&lt;&gt;11),1,0)+IF(AND($AG23&lt;&gt;"",LEN(SUBSTITUTE($AG23,"-",""))&lt;&gt;7),1,0))</f>
        <v/>
      </c>
      <c r="AV23" s="17" t="n"/>
      <c r="AW23" s="59" t="n"/>
      <c r="AX23" s="17" t="n"/>
      <c r="AY23" s="17" t="n"/>
    </row>
    <row r="24">
      <c r="A24" s="23">
        <f>IF($B24="","",ROW()-8)</f>
        <v/>
      </c>
      <c r="B24" s="17" t="n"/>
      <c r="C24" s="17" t="n"/>
      <c r="D24" s="17" t="n"/>
      <c r="E24" s="67" t="n"/>
      <c r="F24" s="58">
        <f>IF(OR($E24="",$E24&gt;80000),"",DATEDIF($E24,IF(OR($G24="",$G24&gt;80000),TODAY(),$G24),"Y"))</f>
        <v/>
      </c>
      <c r="G24" s="67" t="n"/>
      <c r="H24" s="17" t="n"/>
      <c r="I24" s="17" t="n"/>
      <c r="J24" s="67" t="n"/>
      <c r="K24" s="17" t="n"/>
      <c r="L24" s="17" t="n"/>
      <c r="M24" s="17" t="n"/>
      <c r="N24" s="17" t="n"/>
      <c r="O24" s="23">
        <f>IF($B24="","",IF($I24="なし","あり",IF($I24&lt;&gt;"あり","",IF($K24="更新の可能性あり","あり",IF(OR($J24="",$G24=""),"なし",IF(OR(NOT(ISNUMBER($G24)),NOT(ISNUMBER($J24)),$G24&gt;80000,$J24&gt;80000),"要確認（日付）",IF($J24&gt;IF(DAY(EDATE($G24,2))&lt;DAY($G24),EOMONTH($G24,2),EDATE($G24,2)-1),"あり","なし"))))))</f>
        <v/>
      </c>
      <c r="P24" s="23">
        <f>IF($B24="","",IF($I24="なし","あり",IF($I24="あり",IF(OR($K24="更新の可能性あり",AND($J24&lt;&gt;"",$G24&lt;&gt;"",$J24-$G24+1&gt;=31)),"あり","なし"),"")))</f>
        <v/>
      </c>
      <c r="Q24" s="17" t="n"/>
      <c r="R24" s="59" t="n"/>
      <c r="S24" s="59" t="n"/>
      <c r="T24" s="59" t="n"/>
      <c r="U24" s="59" t="n"/>
      <c r="V24" s="59" t="n"/>
      <c r="W24" s="79">
        <f>IF($B24="","",SUM($S24,$T24,$U24,$V24))</f>
        <v/>
      </c>
      <c r="X24" s="23">
        <f>IF(OR('⓪ 事業所設定'!$C$9="",'⓪ 事業所設定'!$C$13="",'⓪ 事業所設定'!$C$14="",'⓪ 事業所設定'!$C$17=""),"事業所設定が未入力です",IF($B24="","",IF(AND($L24&gt;='⓪ 事業所設定'!$C$13*0.75,$M24&gt;='⓪ 事業所設定'!$C$14*0.75,$O24="あり"),"加入（一般被保険者）",IF(AND('⓪ 事業所設定'!$C$12="適用あり",$L24&gt;=20,$O24="あり",$N24&lt;&gt;"昼間部の学生",OR('⓪ 事業所設定'!$C$17&gt;=DATE(2026,10,1),($S24+$T24-N($AW24))&gt;=88000)),"加入（短時間労働者）","加入対象外"))))</f>
        <v/>
      </c>
      <c r="Y24" s="23">
        <f>IF($B24="","",TRIM(IF(AND($F24&lt;&gt;"",$F24&gt;=70,ISNUMBER(SEARCH("加入（",$X24))),"厚年対象外（70歳以上被用者該当届） ","")&amp;IF(AND($F24&lt;&gt;"",$F24&gt;=75),"健保対象外（後期高齢者医療） ","")&amp;IF(AND($F24&lt;&gt;"",$F24&gt;=65,$Z24="加入"),"雇保：高年齢被保険者 ","")))</f>
        <v/>
      </c>
      <c r="Z24" s="23">
        <f>IF($B24="","",IF($H24="役員","対象外（兼務役員なら要相談）",IF(AND($L24&gt;=20,$P24="あり",$N24&lt;&gt;"昼間部の学生"),"加入","加入対象外")))</f>
        <v/>
      </c>
      <c r="AA24" s="61" t="n"/>
      <c r="AB24" s="61" t="n"/>
      <c r="AC24" s="17" t="n"/>
      <c r="AD24" s="61" t="n"/>
      <c r="AE24" s="17" t="n"/>
      <c r="AF24" s="17" t="n"/>
      <c r="AG24" s="61" t="n"/>
      <c r="AH24" s="17" t="n"/>
      <c r="AI24" s="17" t="n"/>
      <c r="AJ24" s="17" t="n"/>
      <c r="AK24" s="17" t="n"/>
      <c r="AL24" s="17" t="n"/>
      <c r="AM24" s="17" t="n"/>
      <c r="AN24" s="67" t="n"/>
      <c r="AO24" s="17" t="n"/>
      <c r="AP24" s="17" t="n"/>
      <c r="AQ24" s="17" t="n"/>
      <c r="AR24" s="17" t="n"/>
      <c r="AT24">
        <f>IF($B24="","",IF($B24="",1,0)+IF($C24="",1,0)+IF($D24="",1,0)+IF($E24="",1,0)+IF($G24="",1,0)+IF($H24="",1,0)+IF($I24="",1,0)+IF($L24="",1,0)+IF($M24="",1,0)+IF($N24="",1,0)+IF($Q24="",1,0)+IF($S24="",1,0)+IF($AA24="",1,0)+IF($AC24="",1,0)+IF($AG24="",1,0)+IF($AH24="",1,0)+IF($AI24="",1,0)+IF($AL24="",1,0)+IF($AP24="",1,0)+IF($AQ24="",1,0)+IF(AND($I24="あり",$J24=""),1,0)+IF(AND($I24="あり",$K24=""),1,0)+IF(AND($AA24="",$AB24=""),1,0)+IF(AND($AC24="あり",$AD24=""),1,0)+IF(AND($AC24="あり",OR($AD24="",$AD24="後日提出"),$AE24=""),1,0)+IF($AV24="",1,0)+IF(AND($AL24="外国",$AM24=""),1,0)+IF(AND($AL24="外国",$AN24=""),1,0)+IF(AND($AL24="外国",$AO24=""),1,0))</f>
        <v/>
      </c>
      <c r="AU24">
        <f>IF($B24="","",IF(AND($AA24&lt;&gt;"",$AA24&lt;&gt;"後日提出",$AA24&lt;&gt;"別経路提出",LEN($AA24)&lt;&gt;12),1,0)+IF(AND($AB24&lt;&gt;"",$AB24&lt;&gt;"後日提出",LEN($AB24)&lt;&gt;10),1,0)+IF(AND($AD24&lt;&gt;"",$AD24&lt;&gt;"後日提出",LEN($AD24)&lt;&gt;11),1,0)+IF(AND($AG24&lt;&gt;"",LEN(SUBSTITUTE($AG24,"-",""))&lt;&gt;7),1,0))</f>
        <v/>
      </c>
      <c r="AV24" s="17" t="n"/>
      <c r="AW24" s="59" t="n"/>
      <c r="AX24" s="17" t="n"/>
      <c r="AY24" s="17" t="n"/>
    </row>
    <row r="25">
      <c r="A25" s="23">
        <f>IF($B25="","",ROW()-8)</f>
        <v/>
      </c>
      <c r="B25" s="17" t="n"/>
      <c r="C25" s="17" t="n"/>
      <c r="D25" s="17" t="n"/>
      <c r="E25" s="67" t="n"/>
      <c r="F25" s="58">
        <f>IF(OR($E25="",$E25&gt;80000),"",DATEDIF($E25,IF(OR($G25="",$G25&gt;80000),TODAY(),$G25),"Y"))</f>
        <v/>
      </c>
      <c r="G25" s="67" t="n"/>
      <c r="H25" s="17" t="n"/>
      <c r="I25" s="17" t="n"/>
      <c r="J25" s="67" t="n"/>
      <c r="K25" s="17" t="n"/>
      <c r="L25" s="17" t="n"/>
      <c r="M25" s="17" t="n"/>
      <c r="N25" s="17" t="n"/>
      <c r="O25" s="23">
        <f>IF($B25="","",IF($I25="なし","あり",IF($I25&lt;&gt;"あり","",IF($K25="更新の可能性あり","あり",IF(OR($J25="",$G25=""),"なし",IF(OR(NOT(ISNUMBER($G25)),NOT(ISNUMBER($J25)),$G25&gt;80000,$J25&gt;80000),"要確認（日付）",IF($J25&gt;IF(DAY(EDATE($G25,2))&lt;DAY($G25),EOMONTH($G25,2),EDATE($G25,2)-1),"あり","なし"))))))</f>
        <v/>
      </c>
      <c r="P25" s="23">
        <f>IF($B25="","",IF($I25="なし","あり",IF($I25="あり",IF(OR($K25="更新の可能性あり",AND($J25&lt;&gt;"",$G25&lt;&gt;"",$J25-$G25+1&gt;=31)),"あり","なし"),"")))</f>
        <v/>
      </c>
      <c r="Q25" s="17" t="n"/>
      <c r="R25" s="59" t="n"/>
      <c r="S25" s="59" t="n"/>
      <c r="T25" s="59" t="n"/>
      <c r="U25" s="59" t="n"/>
      <c r="V25" s="59" t="n"/>
      <c r="W25" s="79">
        <f>IF($B25="","",SUM($S25,$T25,$U25,$V25))</f>
        <v/>
      </c>
      <c r="X25" s="23">
        <f>IF(OR('⓪ 事業所設定'!$C$9="",'⓪ 事業所設定'!$C$13="",'⓪ 事業所設定'!$C$14="",'⓪ 事業所設定'!$C$17=""),"事業所設定が未入力です",IF($B25="","",IF(AND($L25&gt;='⓪ 事業所設定'!$C$13*0.75,$M25&gt;='⓪ 事業所設定'!$C$14*0.75,$O25="あり"),"加入（一般被保険者）",IF(AND('⓪ 事業所設定'!$C$12="適用あり",$L25&gt;=20,$O25="あり",$N25&lt;&gt;"昼間部の学生",OR('⓪ 事業所設定'!$C$17&gt;=DATE(2026,10,1),($S25+$T25-N($AW25))&gt;=88000)),"加入（短時間労働者）","加入対象外"))))</f>
        <v/>
      </c>
      <c r="Y25" s="23">
        <f>IF($B25="","",TRIM(IF(AND($F25&lt;&gt;"",$F25&gt;=70,ISNUMBER(SEARCH("加入（",$X25))),"厚年対象外（70歳以上被用者該当届） ","")&amp;IF(AND($F25&lt;&gt;"",$F25&gt;=75),"健保対象外（後期高齢者医療） ","")&amp;IF(AND($F25&lt;&gt;"",$F25&gt;=65,$Z25="加入"),"雇保：高年齢被保険者 ","")))</f>
        <v/>
      </c>
      <c r="Z25" s="23">
        <f>IF($B25="","",IF($H25="役員","対象外（兼務役員なら要相談）",IF(AND($L25&gt;=20,$P25="あり",$N25&lt;&gt;"昼間部の学生"),"加入","加入対象外")))</f>
        <v/>
      </c>
      <c r="AA25" s="61" t="n"/>
      <c r="AB25" s="61" t="n"/>
      <c r="AC25" s="17" t="n"/>
      <c r="AD25" s="61" t="n"/>
      <c r="AE25" s="17" t="n"/>
      <c r="AF25" s="17" t="n"/>
      <c r="AG25" s="61" t="n"/>
      <c r="AH25" s="17" t="n"/>
      <c r="AI25" s="17" t="n"/>
      <c r="AJ25" s="17" t="n"/>
      <c r="AK25" s="17" t="n"/>
      <c r="AL25" s="17" t="n"/>
      <c r="AM25" s="17" t="n"/>
      <c r="AN25" s="67" t="n"/>
      <c r="AO25" s="17" t="n"/>
      <c r="AP25" s="17" t="n"/>
      <c r="AQ25" s="17" t="n"/>
      <c r="AR25" s="17" t="n"/>
      <c r="AT25">
        <f>IF($B25="","",IF($B25="",1,0)+IF($C25="",1,0)+IF($D25="",1,0)+IF($E25="",1,0)+IF($G25="",1,0)+IF($H25="",1,0)+IF($I25="",1,0)+IF($L25="",1,0)+IF($M25="",1,0)+IF($N25="",1,0)+IF($Q25="",1,0)+IF($S25="",1,0)+IF($AA25="",1,0)+IF($AC25="",1,0)+IF($AG25="",1,0)+IF($AH25="",1,0)+IF($AI25="",1,0)+IF($AL25="",1,0)+IF($AP25="",1,0)+IF($AQ25="",1,0)+IF(AND($I25="あり",$J25=""),1,0)+IF(AND($I25="あり",$K25=""),1,0)+IF(AND($AA25="",$AB25=""),1,0)+IF(AND($AC25="あり",$AD25=""),1,0)+IF(AND($AC25="あり",OR($AD25="",$AD25="後日提出"),$AE25=""),1,0)+IF($AV25="",1,0)+IF(AND($AL25="外国",$AM25=""),1,0)+IF(AND($AL25="外国",$AN25=""),1,0)+IF(AND($AL25="外国",$AO25=""),1,0))</f>
        <v/>
      </c>
      <c r="AU25">
        <f>IF($B25="","",IF(AND($AA25&lt;&gt;"",$AA25&lt;&gt;"後日提出",$AA25&lt;&gt;"別経路提出",LEN($AA25)&lt;&gt;12),1,0)+IF(AND($AB25&lt;&gt;"",$AB25&lt;&gt;"後日提出",LEN($AB25)&lt;&gt;10),1,0)+IF(AND($AD25&lt;&gt;"",$AD25&lt;&gt;"後日提出",LEN($AD25)&lt;&gt;11),1,0)+IF(AND($AG25&lt;&gt;"",LEN(SUBSTITUTE($AG25,"-",""))&lt;&gt;7),1,0))</f>
        <v/>
      </c>
      <c r="AV25" s="17" t="n"/>
      <c r="AW25" s="59" t="n"/>
      <c r="AX25" s="17" t="n"/>
      <c r="AY25" s="17" t="n"/>
    </row>
    <row r="26">
      <c r="A26" s="23">
        <f>IF($B26="","",ROW()-8)</f>
        <v/>
      </c>
      <c r="B26" s="17" t="n"/>
      <c r="C26" s="17" t="n"/>
      <c r="D26" s="17" t="n"/>
      <c r="E26" s="67" t="n"/>
      <c r="F26" s="58">
        <f>IF(OR($E26="",$E26&gt;80000),"",DATEDIF($E26,IF(OR($G26="",$G26&gt;80000),TODAY(),$G26),"Y"))</f>
        <v/>
      </c>
      <c r="G26" s="67" t="n"/>
      <c r="H26" s="17" t="n"/>
      <c r="I26" s="17" t="n"/>
      <c r="J26" s="67" t="n"/>
      <c r="K26" s="17" t="n"/>
      <c r="L26" s="17" t="n"/>
      <c r="M26" s="17" t="n"/>
      <c r="N26" s="17" t="n"/>
      <c r="O26" s="23">
        <f>IF($B26="","",IF($I26="なし","あり",IF($I26&lt;&gt;"あり","",IF($K26="更新の可能性あり","あり",IF(OR($J26="",$G26=""),"なし",IF(OR(NOT(ISNUMBER($G26)),NOT(ISNUMBER($J26)),$G26&gt;80000,$J26&gt;80000),"要確認（日付）",IF($J26&gt;IF(DAY(EDATE($G26,2))&lt;DAY($G26),EOMONTH($G26,2),EDATE($G26,2)-1),"あり","なし"))))))</f>
        <v/>
      </c>
      <c r="P26" s="23">
        <f>IF($B26="","",IF($I26="なし","あり",IF($I26="あり",IF(OR($K26="更新の可能性あり",AND($J26&lt;&gt;"",$G26&lt;&gt;"",$J26-$G26+1&gt;=31)),"あり","なし"),"")))</f>
        <v/>
      </c>
      <c r="Q26" s="17" t="n"/>
      <c r="R26" s="59" t="n"/>
      <c r="S26" s="59" t="n"/>
      <c r="T26" s="59" t="n"/>
      <c r="U26" s="59" t="n"/>
      <c r="V26" s="59" t="n"/>
      <c r="W26" s="79">
        <f>IF($B26="","",SUM($S26,$T26,$U26,$V26))</f>
        <v/>
      </c>
      <c r="X26" s="23">
        <f>IF(OR('⓪ 事業所設定'!$C$9="",'⓪ 事業所設定'!$C$13="",'⓪ 事業所設定'!$C$14="",'⓪ 事業所設定'!$C$17=""),"事業所設定が未入力です",IF($B26="","",IF(AND($L26&gt;='⓪ 事業所設定'!$C$13*0.75,$M26&gt;='⓪ 事業所設定'!$C$14*0.75,$O26="あり"),"加入（一般被保険者）",IF(AND('⓪ 事業所設定'!$C$12="適用あり",$L26&gt;=20,$O26="あり",$N26&lt;&gt;"昼間部の学生",OR('⓪ 事業所設定'!$C$17&gt;=DATE(2026,10,1),($S26+$T26-N($AW26))&gt;=88000)),"加入（短時間労働者）","加入対象外"))))</f>
        <v/>
      </c>
      <c r="Y26" s="23">
        <f>IF($B26="","",TRIM(IF(AND($F26&lt;&gt;"",$F26&gt;=70,ISNUMBER(SEARCH("加入（",$X26))),"厚年対象外（70歳以上被用者該当届） ","")&amp;IF(AND($F26&lt;&gt;"",$F26&gt;=75),"健保対象外（後期高齢者医療） ","")&amp;IF(AND($F26&lt;&gt;"",$F26&gt;=65,$Z26="加入"),"雇保：高年齢被保険者 ","")))</f>
        <v/>
      </c>
      <c r="Z26" s="23">
        <f>IF($B26="","",IF($H26="役員","対象外（兼務役員なら要相談）",IF(AND($L26&gt;=20,$P26="あり",$N26&lt;&gt;"昼間部の学生"),"加入","加入対象外")))</f>
        <v/>
      </c>
      <c r="AA26" s="61" t="n"/>
      <c r="AB26" s="61" t="n"/>
      <c r="AC26" s="17" t="n"/>
      <c r="AD26" s="61" t="n"/>
      <c r="AE26" s="17" t="n"/>
      <c r="AF26" s="17" t="n"/>
      <c r="AG26" s="61" t="n"/>
      <c r="AH26" s="17" t="n"/>
      <c r="AI26" s="17" t="n"/>
      <c r="AJ26" s="17" t="n"/>
      <c r="AK26" s="17" t="n"/>
      <c r="AL26" s="17" t="n"/>
      <c r="AM26" s="17" t="n"/>
      <c r="AN26" s="67" t="n"/>
      <c r="AO26" s="17" t="n"/>
      <c r="AP26" s="17" t="n"/>
      <c r="AQ26" s="17" t="n"/>
      <c r="AR26" s="17" t="n"/>
      <c r="AT26">
        <f>IF($B26="","",IF($B26="",1,0)+IF($C26="",1,0)+IF($D26="",1,0)+IF($E26="",1,0)+IF($G26="",1,0)+IF($H26="",1,0)+IF($I26="",1,0)+IF($L26="",1,0)+IF($M26="",1,0)+IF($N26="",1,0)+IF($Q26="",1,0)+IF($S26="",1,0)+IF($AA26="",1,0)+IF($AC26="",1,0)+IF($AG26="",1,0)+IF($AH26="",1,0)+IF($AI26="",1,0)+IF($AL26="",1,0)+IF($AP26="",1,0)+IF($AQ26="",1,0)+IF(AND($I26="あり",$J26=""),1,0)+IF(AND($I26="あり",$K26=""),1,0)+IF(AND($AA26="",$AB26=""),1,0)+IF(AND($AC26="あり",$AD26=""),1,0)+IF(AND($AC26="あり",OR($AD26="",$AD26="後日提出"),$AE26=""),1,0)+IF($AV26="",1,0)+IF(AND($AL26="外国",$AM26=""),1,0)+IF(AND($AL26="外国",$AN26=""),1,0)+IF(AND($AL26="外国",$AO26=""),1,0))</f>
        <v/>
      </c>
      <c r="AU26">
        <f>IF($B26="","",IF(AND($AA26&lt;&gt;"",$AA26&lt;&gt;"後日提出",$AA26&lt;&gt;"別経路提出",LEN($AA26)&lt;&gt;12),1,0)+IF(AND($AB26&lt;&gt;"",$AB26&lt;&gt;"後日提出",LEN($AB26)&lt;&gt;10),1,0)+IF(AND($AD26&lt;&gt;"",$AD26&lt;&gt;"後日提出",LEN($AD26)&lt;&gt;11),1,0)+IF(AND($AG26&lt;&gt;"",LEN(SUBSTITUTE($AG26,"-",""))&lt;&gt;7),1,0))</f>
        <v/>
      </c>
      <c r="AV26" s="17" t="n"/>
      <c r="AW26" s="59" t="n"/>
      <c r="AX26" s="17" t="n"/>
      <c r="AY26" s="17" t="n"/>
    </row>
    <row r="27">
      <c r="A27" s="23">
        <f>IF($B27="","",ROW()-8)</f>
        <v/>
      </c>
      <c r="B27" s="17" t="n"/>
      <c r="C27" s="17" t="n"/>
      <c r="D27" s="17" t="n"/>
      <c r="E27" s="67" t="n"/>
      <c r="F27" s="58">
        <f>IF(OR($E27="",$E27&gt;80000),"",DATEDIF($E27,IF(OR($G27="",$G27&gt;80000),TODAY(),$G27),"Y"))</f>
        <v/>
      </c>
      <c r="G27" s="67" t="n"/>
      <c r="H27" s="17" t="n"/>
      <c r="I27" s="17" t="n"/>
      <c r="J27" s="67" t="n"/>
      <c r="K27" s="17" t="n"/>
      <c r="L27" s="17" t="n"/>
      <c r="M27" s="17" t="n"/>
      <c r="N27" s="17" t="n"/>
      <c r="O27" s="23">
        <f>IF($B27="","",IF($I27="なし","あり",IF($I27&lt;&gt;"あり","",IF($K27="更新の可能性あり","あり",IF(OR($J27="",$G27=""),"なし",IF(OR(NOT(ISNUMBER($G27)),NOT(ISNUMBER($J27)),$G27&gt;80000,$J27&gt;80000),"要確認（日付）",IF($J27&gt;IF(DAY(EDATE($G27,2))&lt;DAY($G27),EOMONTH($G27,2),EDATE($G27,2)-1),"あり","なし"))))))</f>
        <v/>
      </c>
      <c r="P27" s="23">
        <f>IF($B27="","",IF($I27="なし","あり",IF($I27="あり",IF(OR($K27="更新の可能性あり",AND($J27&lt;&gt;"",$G27&lt;&gt;"",$J27-$G27+1&gt;=31)),"あり","なし"),"")))</f>
        <v/>
      </c>
      <c r="Q27" s="17" t="n"/>
      <c r="R27" s="59" t="n"/>
      <c r="S27" s="59" t="n"/>
      <c r="T27" s="59" t="n"/>
      <c r="U27" s="59" t="n"/>
      <c r="V27" s="59" t="n"/>
      <c r="W27" s="79">
        <f>IF($B27="","",SUM($S27,$T27,$U27,$V27))</f>
        <v/>
      </c>
      <c r="X27" s="23">
        <f>IF(OR('⓪ 事業所設定'!$C$9="",'⓪ 事業所設定'!$C$13="",'⓪ 事業所設定'!$C$14="",'⓪ 事業所設定'!$C$17=""),"事業所設定が未入力です",IF($B27="","",IF(AND($L27&gt;='⓪ 事業所設定'!$C$13*0.75,$M27&gt;='⓪ 事業所設定'!$C$14*0.75,$O27="あり"),"加入（一般被保険者）",IF(AND('⓪ 事業所設定'!$C$12="適用あり",$L27&gt;=20,$O27="あり",$N27&lt;&gt;"昼間部の学生",OR('⓪ 事業所設定'!$C$17&gt;=DATE(2026,10,1),($S27+$T27-N($AW27))&gt;=88000)),"加入（短時間労働者）","加入対象外"))))</f>
        <v/>
      </c>
      <c r="Y27" s="23">
        <f>IF($B27="","",TRIM(IF(AND($F27&lt;&gt;"",$F27&gt;=70,ISNUMBER(SEARCH("加入（",$X27))),"厚年対象外（70歳以上被用者該当届） ","")&amp;IF(AND($F27&lt;&gt;"",$F27&gt;=75),"健保対象外（後期高齢者医療） ","")&amp;IF(AND($F27&lt;&gt;"",$F27&gt;=65,$Z27="加入"),"雇保：高年齢被保険者 ","")))</f>
        <v/>
      </c>
      <c r="Z27" s="23">
        <f>IF($B27="","",IF($H27="役員","対象外（兼務役員なら要相談）",IF(AND($L27&gt;=20,$P27="あり",$N27&lt;&gt;"昼間部の学生"),"加入","加入対象外")))</f>
        <v/>
      </c>
      <c r="AA27" s="61" t="n"/>
      <c r="AB27" s="61" t="n"/>
      <c r="AC27" s="17" t="n"/>
      <c r="AD27" s="61" t="n"/>
      <c r="AE27" s="17" t="n"/>
      <c r="AF27" s="17" t="n"/>
      <c r="AG27" s="61" t="n"/>
      <c r="AH27" s="17" t="n"/>
      <c r="AI27" s="17" t="n"/>
      <c r="AJ27" s="17" t="n"/>
      <c r="AK27" s="17" t="n"/>
      <c r="AL27" s="17" t="n"/>
      <c r="AM27" s="17" t="n"/>
      <c r="AN27" s="67" t="n"/>
      <c r="AO27" s="17" t="n"/>
      <c r="AP27" s="17" t="n"/>
      <c r="AQ27" s="17" t="n"/>
      <c r="AR27" s="17" t="n"/>
      <c r="AT27">
        <f>IF($B27="","",IF($B27="",1,0)+IF($C27="",1,0)+IF($D27="",1,0)+IF($E27="",1,0)+IF($G27="",1,0)+IF($H27="",1,0)+IF($I27="",1,0)+IF($L27="",1,0)+IF($M27="",1,0)+IF($N27="",1,0)+IF($Q27="",1,0)+IF($S27="",1,0)+IF($AA27="",1,0)+IF($AC27="",1,0)+IF($AG27="",1,0)+IF($AH27="",1,0)+IF($AI27="",1,0)+IF($AL27="",1,0)+IF($AP27="",1,0)+IF($AQ27="",1,0)+IF(AND($I27="あり",$J27=""),1,0)+IF(AND($I27="あり",$K27=""),1,0)+IF(AND($AA27="",$AB27=""),1,0)+IF(AND($AC27="あり",$AD27=""),1,0)+IF(AND($AC27="あり",OR($AD27="",$AD27="後日提出"),$AE27=""),1,0)+IF($AV27="",1,0)+IF(AND($AL27="外国",$AM27=""),1,0)+IF(AND($AL27="外国",$AN27=""),1,0)+IF(AND($AL27="外国",$AO27=""),1,0))</f>
        <v/>
      </c>
      <c r="AU27">
        <f>IF($B27="","",IF(AND($AA27&lt;&gt;"",$AA27&lt;&gt;"後日提出",$AA27&lt;&gt;"別経路提出",LEN($AA27)&lt;&gt;12),1,0)+IF(AND($AB27&lt;&gt;"",$AB27&lt;&gt;"後日提出",LEN($AB27)&lt;&gt;10),1,0)+IF(AND($AD27&lt;&gt;"",$AD27&lt;&gt;"後日提出",LEN($AD27)&lt;&gt;11),1,0)+IF(AND($AG27&lt;&gt;"",LEN(SUBSTITUTE($AG27,"-",""))&lt;&gt;7),1,0))</f>
        <v/>
      </c>
      <c r="AV27" s="17" t="n"/>
      <c r="AW27" s="59" t="n"/>
      <c r="AX27" s="17" t="n"/>
      <c r="AY27" s="17" t="n"/>
    </row>
    <row r="28">
      <c r="A28" s="23">
        <f>IF($B28="","",ROW()-8)</f>
        <v/>
      </c>
      <c r="B28" s="17" t="n"/>
      <c r="C28" s="17" t="n"/>
      <c r="D28" s="17" t="n"/>
      <c r="E28" s="67" t="n"/>
      <c r="F28" s="58">
        <f>IF(OR($E28="",$E28&gt;80000),"",DATEDIF($E28,IF(OR($G28="",$G28&gt;80000),TODAY(),$G28),"Y"))</f>
        <v/>
      </c>
      <c r="G28" s="67" t="n"/>
      <c r="H28" s="17" t="n"/>
      <c r="I28" s="17" t="n"/>
      <c r="J28" s="67" t="n"/>
      <c r="K28" s="17" t="n"/>
      <c r="L28" s="17" t="n"/>
      <c r="M28" s="17" t="n"/>
      <c r="N28" s="17" t="n"/>
      <c r="O28" s="23">
        <f>IF($B28="","",IF($I28="なし","あり",IF($I28&lt;&gt;"あり","",IF($K28="更新の可能性あり","あり",IF(OR($J28="",$G28=""),"なし",IF(OR(NOT(ISNUMBER($G28)),NOT(ISNUMBER($J28)),$G28&gt;80000,$J28&gt;80000),"要確認（日付）",IF($J28&gt;IF(DAY(EDATE($G28,2))&lt;DAY($G28),EOMONTH($G28,2),EDATE($G28,2)-1),"あり","なし"))))))</f>
        <v/>
      </c>
      <c r="P28" s="23">
        <f>IF($B28="","",IF($I28="なし","あり",IF($I28="あり",IF(OR($K28="更新の可能性あり",AND($J28&lt;&gt;"",$G28&lt;&gt;"",$J28-$G28+1&gt;=31)),"あり","なし"),"")))</f>
        <v/>
      </c>
      <c r="Q28" s="17" t="n"/>
      <c r="R28" s="59" t="n"/>
      <c r="S28" s="59" t="n"/>
      <c r="T28" s="59" t="n"/>
      <c r="U28" s="59" t="n"/>
      <c r="V28" s="59" t="n"/>
      <c r="W28" s="79">
        <f>IF($B28="","",SUM($S28,$T28,$U28,$V28))</f>
        <v/>
      </c>
      <c r="X28" s="23">
        <f>IF(OR('⓪ 事業所設定'!$C$9="",'⓪ 事業所設定'!$C$13="",'⓪ 事業所設定'!$C$14="",'⓪ 事業所設定'!$C$17=""),"事業所設定が未入力です",IF($B28="","",IF(AND($L28&gt;='⓪ 事業所設定'!$C$13*0.75,$M28&gt;='⓪ 事業所設定'!$C$14*0.75,$O28="あり"),"加入（一般被保険者）",IF(AND('⓪ 事業所設定'!$C$12="適用あり",$L28&gt;=20,$O28="あり",$N28&lt;&gt;"昼間部の学生",OR('⓪ 事業所設定'!$C$17&gt;=DATE(2026,10,1),($S28+$T28-N($AW28))&gt;=88000)),"加入（短時間労働者）","加入対象外"))))</f>
        <v/>
      </c>
      <c r="Y28" s="23">
        <f>IF($B28="","",TRIM(IF(AND($F28&lt;&gt;"",$F28&gt;=70,ISNUMBER(SEARCH("加入（",$X28))),"厚年対象外（70歳以上被用者該当届） ","")&amp;IF(AND($F28&lt;&gt;"",$F28&gt;=75),"健保対象外（後期高齢者医療） ","")&amp;IF(AND($F28&lt;&gt;"",$F28&gt;=65,$Z28="加入"),"雇保：高年齢被保険者 ","")))</f>
        <v/>
      </c>
      <c r="Z28" s="23">
        <f>IF($B28="","",IF($H28="役員","対象外（兼務役員なら要相談）",IF(AND($L28&gt;=20,$P28="あり",$N28&lt;&gt;"昼間部の学生"),"加入","加入対象外")))</f>
        <v/>
      </c>
      <c r="AA28" s="61" t="n"/>
      <c r="AB28" s="61" t="n"/>
      <c r="AC28" s="17" t="n"/>
      <c r="AD28" s="61" t="n"/>
      <c r="AE28" s="17" t="n"/>
      <c r="AF28" s="17" t="n"/>
      <c r="AG28" s="61" t="n"/>
      <c r="AH28" s="17" t="n"/>
      <c r="AI28" s="17" t="n"/>
      <c r="AJ28" s="17" t="n"/>
      <c r="AK28" s="17" t="n"/>
      <c r="AL28" s="17" t="n"/>
      <c r="AM28" s="17" t="n"/>
      <c r="AN28" s="67" t="n"/>
      <c r="AO28" s="17" t="n"/>
      <c r="AP28" s="17" t="n"/>
      <c r="AQ28" s="17" t="n"/>
      <c r="AR28" s="17" t="n"/>
      <c r="AT28">
        <f>IF($B28="","",IF($B28="",1,0)+IF($C28="",1,0)+IF($D28="",1,0)+IF($E28="",1,0)+IF($G28="",1,0)+IF($H28="",1,0)+IF($I28="",1,0)+IF($L28="",1,0)+IF($M28="",1,0)+IF($N28="",1,0)+IF($Q28="",1,0)+IF($S28="",1,0)+IF($AA28="",1,0)+IF($AC28="",1,0)+IF($AG28="",1,0)+IF($AH28="",1,0)+IF($AI28="",1,0)+IF($AL28="",1,0)+IF($AP28="",1,0)+IF($AQ28="",1,0)+IF(AND($I28="あり",$J28=""),1,0)+IF(AND($I28="あり",$K28=""),1,0)+IF(AND($AA28="",$AB28=""),1,0)+IF(AND($AC28="あり",$AD28=""),1,0)+IF(AND($AC28="あり",OR($AD28="",$AD28="後日提出"),$AE28=""),1,0)+IF($AV28="",1,0)+IF(AND($AL28="外国",$AM28=""),1,0)+IF(AND($AL28="外国",$AN28=""),1,0)+IF(AND($AL28="外国",$AO28=""),1,0))</f>
        <v/>
      </c>
      <c r="AU28">
        <f>IF($B28="","",IF(AND($AA28&lt;&gt;"",$AA28&lt;&gt;"後日提出",$AA28&lt;&gt;"別経路提出",LEN($AA28)&lt;&gt;12),1,0)+IF(AND($AB28&lt;&gt;"",$AB28&lt;&gt;"後日提出",LEN($AB28)&lt;&gt;10),1,0)+IF(AND($AD28&lt;&gt;"",$AD28&lt;&gt;"後日提出",LEN($AD28)&lt;&gt;11),1,0)+IF(AND($AG28&lt;&gt;"",LEN(SUBSTITUTE($AG28,"-",""))&lt;&gt;7),1,0))</f>
        <v/>
      </c>
      <c r="AV28" s="17" t="n"/>
      <c r="AW28" s="59" t="n"/>
      <c r="AX28" s="17" t="n"/>
      <c r="AY28" s="17" t="n"/>
    </row>
    <row r="29">
      <c r="A29" s="23">
        <f>IF($B29="","",ROW()-8)</f>
        <v/>
      </c>
      <c r="B29" s="17" t="n"/>
      <c r="C29" s="17" t="n"/>
      <c r="D29" s="17" t="n"/>
      <c r="E29" s="67" t="n"/>
      <c r="F29" s="58">
        <f>IF(OR($E29="",$E29&gt;80000),"",DATEDIF($E29,IF(OR($G29="",$G29&gt;80000),TODAY(),$G29),"Y"))</f>
        <v/>
      </c>
      <c r="G29" s="67" t="n"/>
      <c r="H29" s="17" t="n"/>
      <c r="I29" s="17" t="n"/>
      <c r="J29" s="67" t="n"/>
      <c r="K29" s="17" t="n"/>
      <c r="L29" s="17" t="n"/>
      <c r="M29" s="17" t="n"/>
      <c r="N29" s="17" t="n"/>
      <c r="O29" s="23">
        <f>IF($B29="","",IF($I29="なし","あり",IF($I29&lt;&gt;"あり","",IF($K29="更新の可能性あり","あり",IF(OR($J29="",$G29=""),"なし",IF(OR(NOT(ISNUMBER($G29)),NOT(ISNUMBER($J29)),$G29&gt;80000,$J29&gt;80000),"要確認（日付）",IF($J29&gt;IF(DAY(EDATE($G29,2))&lt;DAY($G29),EOMONTH($G29,2),EDATE($G29,2)-1),"あり","なし"))))))</f>
        <v/>
      </c>
      <c r="P29" s="23">
        <f>IF($B29="","",IF($I29="なし","あり",IF($I29="あり",IF(OR($K29="更新の可能性あり",AND($J29&lt;&gt;"",$G29&lt;&gt;"",$J29-$G29+1&gt;=31)),"あり","なし"),"")))</f>
        <v/>
      </c>
      <c r="Q29" s="17" t="n"/>
      <c r="R29" s="59" t="n"/>
      <c r="S29" s="59" t="n"/>
      <c r="T29" s="59" t="n"/>
      <c r="U29" s="59" t="n"/>
      <c r="V29" s="59" t="n"/>
      <c r="W29" s="79">
        <f>IF($B29="","",SUM($S29,$T29,$U29,$V29))</f>
        <v/>
      </c>
      <c r="X29" s="23">
        <f>IF(OR('⓪ 事業所設定'!$C$9="",'⓪ 事業所設定'!$C$13="",'⓪ 事業所設定'!$C$14="",'⓪ 事業所設定'!$C$17=""),"事業所設定が未入力です",IF($B29="","",IF(AND($L29&gt;='⓪ 事業所設定'!$C$13*0.75,$M29&gt;='⓪ 事業所設定'!$C$14*0.75,$O29="あり"),"加入（一般被保険者）",IF(AND('⓪ 事業所設定'!$C$12="適用あり",$L29&gt;=20,$O29="あり",$N29&lt;&gt;"昼間部の学生",OR('⓪ 事業所設定'!$C$17&gt;=DATE(2026,10,1),($S29+$T29-N($AW29))&gt;=88000)),"加入（短時間労働者）","加入対象外"))))</f>
        <v/>
      </c>
      <c r="Y29" s="23">
        <f>IF($B29="","",TRIM(IF(AND($F29&lt;&gt;"",$F29&gt;=70,ISNUMBER(SEARCH("加入（",$X29))),"厚年対象外（70歳以上被用者該当届） ","")&amp;IF(AND($F29&lt;&gt;"",$F29&gt;=75),"健保対象外（後期高齢者医療） ","")&amp;IF(AND($F29&lt;&gt;"",$F29&gt;=65,$Z29="加入"),"雇保：高年齢被保険者 ","")))</f>
        <v/>
      </c>
      <c r="Z29" s="23">
        <f>IF($B29="","",IF($H29="役員","対象外（兼務役員なら要相談）",IF(AND($L29&gt;=20,$P29="あり",$N29&lt;&gt;"昼間部の学生"),"加入","加入対象外")))</f>
        <v/>
      </c>
      <c r="AA29" s="61" t="n"/>
      <c r="AB29" s="61" t="n"/>
      <c r="AC29" s="17" t="n"/>
      <c r="AD29" s="61" t="n"/>
      <c r="AE29" s="17" t="n"/>
      <c r="AF29" s="17" t="n"/>
      <c r="AG29" s="61" t="n"/>
      <c r="AH29" s="17" t="n"/>
      <c r="AI29" s="17" t="n"/>
      <c r="AJ29" s="17" t="n"/>
      <c r="AK29" s="17" t="n"/>
      <c r="AL29" s="17" t="n"/>
      <c r="AM29" s="17" t="n"/>
      <c r="AN29" s="67" t="n"/>
      <c r="AO29" s="17" t="n"/>
      <c r="AP29" s="17" t="n"/>
      <c r="AQ29" s="17" t="n"/>
      <c r="AR29" s="17" t="n"/>
      <c r="AT29">
        <f>IF($B29="","",IF($B29="",1,0)+IF($C29="",1,0)+IF($D29="",1,0)+IF($E29="",1,0)+IF($G29="",1,0)+IF($H29="",1,0)+IF($I29="",1,0)+IF($L29="",1,0)+IF($M29="",1,0)+IF($N29="",1,0)+IF($Q29="",1,0)+IF($S29="",1,0)+IF($AA29="",1,0)+IF($AC29="",1,0)+IF($AG29="",1,0)+IF($AH29="",1,0)+IF($AI29="",1,0)+IF($AL29="",1,0)+IF($AP29="",1,0)+IF($AQ29="",1,0)+IF(AND($I29="あり",$J29=""),1,0)+IF(AND($I29="あり",$K29=""),1,0)+IF(AND($AA29="",$AB29=""),1,0)+IF(AND($AC29="あり",$AD29=""),1,0)+IF(AND($AC29="あり",OR($AD29="",$AD29="後日提出"),$AE29=""),1,0)+IF($AV29="",1,0)+IF(AND($AL29="外国",$AM29=""),1,0)+IF(AND($AL29="外国",$AN29=""),1,0)+IF(AND($AL29="外国",$AO29=""),1,0))</f>
        <v/>
      </c>
      <c r="AU29">
        <f>IF($B29="","",IF(AND($AA29&lt;&gt;"",$AA29&lt;&gt;"後日提出",$AA29&lt;&gt;"別経路提出",LEN($AA29)&lt;&gt;12),1,0)+IF(AND($AB29&lt;&gt;"",$AB29&lt;&gt;"後日提出",LEN($AB29)&lt;&gt;10),1,0)+IF(AND($AD29&lt;&gt;"",$AD29&lt;&gt;"後日提出",LEN($AD29)&lt;&gt;11),1,0)+IF(AND($AG29&lt;&gt;"",LEN(SUBSTITUTE($AG29,"-",""))&lt;&gt;7),1,0))</f>
        <v/>
      </c>
      <c r="AV29" s="17" t="n"/>
      <c r="AW29" s="59" t="n"/>
      <c r="AX29" s="17" t="n"/>
      <c r="AY29" s="17" t="n"/>
    </row>
    <row r="30">
      <c r="A30" s="23">
        <f>IF($B30="","",ROW()-8)</f>
        <v/>
      </c>
      <c r="B30" s="17" t="n"/>
      <c r="C30" s="17" t="n"/>
      <c r="D30" s="17" t="n"/>
      <c r="E30" s="67" t="n"/>
      <c r="F30" s="58">
        <f>IF(OR($E30="",$E30&gt;80000),"",DATEDIF($E30,IF(OR($G30="",$G30&gt;80000),TODAY(),$G30),"Y"))</f>
        <v/>
      </c>
      <c r="G30" s="67" t="n"/>
      <c r="H30" s="17" t="n"/>
      <c r="I30" s="17" t="n"/>
      <c r="J30" s="67" t="n"/>
      <c r="K30" s="17" t="n"/>
      <c r="L30" s="17" t="n"/>
      <c r="M30" s="17" t="n"/>
      <c r="N30" s="17" t="n"/>
      <c r="O30" s="23">
        <f>IF($B30="","",IF($I30="なし","あり",IF($I30&lt;&gt;"あり","",IF($K30="更新の可能性あり","あり",IF(OR($J30="",$G30=""),"なし",IF(OR(NOT(ISNUMBER($G30)),NOT(ISNUMBER($J30)),$G30&gt;80000,$J30&gt;80000),"要確認（日付）",IF($J30&gt;IF(DAY(EDATE($G30,2))&lt;DAY($G30),EOMONTH($G30,2),EDATE($G30,2)-1),"あり","なし"))))))</f>
        <v/>
      </c>
      <c r="P30" s="23">
        <f>IF($B30="","",IF($I30="なし","あり",IF($I30="あり",IF(OR($K30="更新の可能性あり",AND($J30&lt;&gt;"",$G30&lt;&gt;"",$J30-$G30+1&gt;=31)),"あり","なし"),"")))</f>
        <v/>
      </c>
      <c r="Q30" s="17" t="n"/>
      <c r="R30" s="59" t="n"/>
      <c r="S30" s="59" t="n"/>
      <c r="T30" s="59" t="n"/>
      <c r="U30" s="59" t="n"/>
      <c r="V30" s="59" t="n"/>
      <c r="W30" s="79">
        <f>IF($B30="","",SUM($S30,$T30,$U30,$V30))</f>
        <v/>
      </c>
      <c r="X30" s="23">
        <f>IF(OR('⓪ 事業所設定'!$C$9="",'⓪ 事業所設定'!$C$13="",'⓪ 事業所設定'!$C$14="",'⓪ 事業所設定'!$C$17=""),"事業所設定が未入力です",IF($B30="","",IF(AND($L30&gt;='⓪ 事業所設定'!$C$13*0.75,$M30&gt;='⓪ 事業所設定'!$C$14*0.75,$O30="あり"),"加入（一般被保険者）",IF(AND('⓪ 事業所設定'!$C$12="適用あり",$L30&gt;=20,$O30="あり",$N30&lt;&gt;"昼間部の学生",OR('⓪ 事業所設定'!$C$17&gt;=DATE(2026,10,1),($S30+$T30-N($AW30))&gt;=88000)),"加入（短時間労働者）","加入対象外"))))</f>
        <v/>
      </c>
      <c r="Y30" s="23">
        <f>IF($B30="","",TRIM(IF(AND($F30&lt;&gt;"",$F30&gt;=70,ISNUMBER(SEARCH("加入（",$X30))),"厚年対象外（70歳以上被用者該当届） ","")&amp;IF(AND($F30&lt;&gt;"",$F30&gt;=75),"健保対象外（後期高齢者医療） ","")&amp;IF(AND($F30&lt;&gt;"",$F30&gt;=65,$Z30="加入"),"雇保：高年齢被保険者 ","")))</f>
        <v/>
      </c>
      <c r="Z30" s="23">
        <f>IF($B30="","",IF($H30="役員","対象外（兼務役員なら要相談）",IF(AND($L30&gt;=20,$P30="あり",$N30&lt;&gt;"昼間部の学生"),"加入","加入対象外")))</f>
        <v/>
      </c>
      <c r="AA30" s="61" t="n"/>
      <c r="AB30" s="61" t="n"/>
      <c r="AC30" s="17" t="n"/>
      <c r="AD30" s="61" t="n"/>
      <c r="AE30" s="17" t="n"/>
      <c r="AF30" s="17" t="n"/>
      <c r="AG30" s="61" t="n"/>
      <c r="AH30" s="17" t="n"/>
      <c r="AI30" s="17" t="n"/>
      <c r="AJ30" s="17" t="n"/>
      <c r="AK30" s="17" t="n"/>
      <c r="AL30" s="17" t="n"/>
      <c r="AM30" s="17" t="n"/>
      <c r="AN30" s="67" t="n"/>
      <c r="AO30" s="17" t="n"/>
      <c r="AP30" s="17" t="n"/>
      <c r="AQ30" s="17" t="n"/>
      <c r="AR30" s="17" t="n"/>
      <c r="AT30">
        <f>IF($B30="","",IF($B30="",1,0)+IF($C30="",1,0)+IF($D30="",1,0)+IF($E30="",1,0)+IF($G30="",1,0)+IF($H30="",1,0)+IF($I30="",1,0)+IF($L30="",1,0)+IF($M30="",1,0)+IF($N30="",1,0)+IF($Q30="",1,0)+IF($S30="",1,0)+IF($AA30="",1,0)+IF($AC30="",1,0)+IF($AG30="",1,0)+IF($AH30="",1,0)+IF($AI30="",1,0)+IF($AL30="",1,0)+IF($AP30="",1,0)+IF($AQ30="",1,0)+IF(AND($I30="あり",$J30=""),1,0)+IF(AND($I30="あり",$K30=""),1,0)+IF(AND($AA30="",$AB30=""),1,0)+IF(AND($AC30="あり",$AD30=""),1,0)+IF(AND($AC30="あり",OR($AD30="",$AD30="後日提出"),$AE30=""),1,0)+IF($AV30="",1,0)+IF(AND($AL30="外国",$AM30=""),1,0)+IF(AND($AL30="外国",$AN30=""),1,0)+IF(AND($AL30="外国",$AO30=""),1,0))</f>
        <v/>
      </c>
      <c r="AU30">
        <f>IF($B30="","",IF(AND($AA30&lt;&gt;"",$AA30&lt;&gt;"後日提出",$AA30&lt;&gt;"別経路提出",LEN($AA30)&lt;&gt;12),1,0)+IF(AND($AB30&lt;&gt;"",$AB30&lt;&gt;"後日提出",LEN($AB30)&lt;&gt;10),1,0)+IF(AND($AD30&lt;&gt;"",$AD30&lt;&gt;"後日提出",LEN($AD30)&lt;&gt;11),1,0)+IF(AND($AG30&lt;&gt;"",LEN(SUBSTITUTE($AG30,"-",""))&lt;&gt;7),1,0))</f>
        <v/>
      </c>
      <c r="AV30" s="17" t="n"/>
      <c r="AW30" s="59" t="n"/>
      <c r="AX30" s="17" t="n"/>
      <c r="AY30" s="17" t="n"/>
    </row>
    <row r="31">
      <c r="A31" s="23">
        <f>IF($B31="","",ROW()-8)</f>
        <v/>
      </c>
      <c r="B31" s="17" t="n"/>
      <c r="C31" s="17" t="n"/>
      <c r="D31" s="17" t="n"/>
      <c r="E31" s="67" t="n"/>
      <c r="F31" s="58">
        <f>IF(OR($E31="",$E31&gt;80000),"",DATEDIF($E31,IF(OR($G31="",$G31&gt;80000),TODAY(),$G31),"Y"))</f>
        <v/>
      </c>
      <c r="G31" s="67" t="n"/>
      <c r="H31" s="17" t="n"/>
      <c r="I31" s="17" t="n"/>
      <c r="J31" s="67" t="n"/>
      <c r="K31" s="17" t="n"/>
      <c r="L31" s="17" t="n"/>
      <c r="M31" s="17" t="n"/>
      <c r="N31" s="17" t="n"/>
      <c r="O31" s="23">
        <f>IF($B31="","",IF($I31="なし","あり",IF($I31&lt;&gt;"あり","",IF($K31="更新の可能性あり","あり",IF(OR($J31="",$G31=""),"なし",IF(OR(NOT(ISNUMBER($G31)),NOT(ISNUMBER($J31)),$G31&gt;80000,$J31&gt;80000),"要確認（日付）",IF($J31&gt;IF(DAY(EDATE($G31,2))&lt;DAY($G31),EOMONTH($G31,2),EDATE($G31,2)-1),"あり","なし"))))))</f>
        <v/>
      </c>
      <c r="P31" s="23">
        <f>IF($B31="","",IF($I31="なし","あり",IF($I31="あり",IF(OR($K31="更新の可能性あり",AND($J31&lt;&gt;"",$G31&lt;&gt;"",$J31-$G31+1&gt;=31)),"あり","なし"),"")))</f>
        <v/>
      </c>
      <c r="Q31" s="17" t="n"/>
      <c r="R31" s="59" t="n"/>
      <c r="S31" s="59" t="n"/>
      <c r="T31" s="59" t="n"/>
      <c r="U31" s="59" t="n"/>
      <c r="V31" s="59" t="n"/>
      <c r="W31" s="79">
        <f>IF($B31="","",SUM($S31,$T31,$U31,$V31))</f>
        <v/>
      </c>
      <c r="X31" s="23">
        <f>IF(OR('⓪ 事業所設定'!$C$9="",'⓪ 事業所設定'!$C$13="",'⓪ 事業所設定'!$C$14="",'⓪ 事業所設定'!$C$17=""),"事業所設定が未入力です",IF($B31="","",IF(AND($L31&gt;='⓪ 事業所設定'!$C$13*0.75,$M31&gt;='⓪ 事業所設定'!$C$14*0.75,$O31="あり"),"加入（一般被保険者）",IF(AND('⓪ 事業所設定'!$C$12="適用あり",$L31&gt;=20,$O31="あり",$N31&lt;&gt;"昼間部の学生",OR('⓪ 事業所設定'!$C$17&gt;=DATE(2026,10,1),($S31+$T31-N($AW31))&gt;=88000)),"加入（短時間労働者）","加入対象外"))))</f>
        <v/>
      </c>
      <c r="Y31" s="23">
        <f>IF($B31="","",TRIM(IF(AND($F31&lt;&gt;"",$F31&gt;=70,ISNUMBER(SEARCH("加入（",$X31))),"厚年対象外（70歳以上被用者該当届） ","")&amp;IF(AND($F31&lt;&gt;"",$F31&gt;=75),"健保対象外（後期高齢者医療） ","")&amp;IF(AND($F31&lt;&gt;"",$F31&gt;=65,$Z31="加入"),"雇保：高年齢被保険者 ","")))</f>
        <v/>
      </c>
      <c r="Z31" s="23">
        <f>IF($B31="","",IF($H31="役員","対象外（兼務役員なら要相談）",IF(AND($L31&gt;=20,$P31="あり",$N31&lt;&gt;"昼間部の学生"),"加入","加入対象外")))</f>
        <v/>
      </c>
      <c r="AA31" s="61" t="n"/>
      <c r="AB31" s="61" t="n"/>
      <c r="AC31" s="17" t="n"/>
      <c r="AD31" s="61" t="n"/>
      <c r="AE31" s="17" t="n"/>
      <c r="AF31" s="17" t="n"/>
      <c r="AG31" s="61" t="n"/>
      <c r="AH31" s="17" t="n"/>
      <c r="AI31" s="17" t="n"/>
      <c r="AJ31" s="17" t="n"/>
      <c r="AK31" s="17" t="n"/>
      <c r="AL31" s="17" t="n"/>
      <c r="AM31" s="17" t="n"/>
      <c r="AN31" s="67" t="n"/>
      <c r="AO31" s="17" t="n"/>
      <c r="AP31" s="17" t="n"/>
      <c r="AQ31" s="17" t="n"/>
      <c r="AR31" s="17" t="n"/>
      <c r="AT31">
        <f>IF($B31="","",IF($B31="",1,0)+IF($C31="",1,0)+IF($D31="",1,0)+IF($E31="",1,0)+IF($G31="",1,0)+IF($H31="",1,0)+IF($I31="",1,0)+IF($L31="",1,0)+IF($M31="",1,0)+IF($N31="",1,0)+IF($Q31="",1,0)+IF($S31="",1,0)+IF($AA31="",1,0)+IF($AC31="",1,0)+IF($AG31="",1,0)+IF($AH31="",1,0)+IF($AI31="",1,0)+IF($AL31="",1,0)+IF($AP31="",1,0)+IF($AQ31="",1,0)+IF(AND($I31="あり",$J31=""),1,0)+IF(AND($I31="あり",$K31=""),1,0)+IF(AND($AA31="",$AB31=""),1,0)+IF(AND($AC31="あり",$AD31=""),1,0)+IF(AND($AC31="あり",OR($AD31="",$AD31="後日提出"),$AE31=""),1,0)+IF($AV31="",1,0)+IF(AND($AL31="外国",$AM31=""),1,0)+IF(AND($AL31="外国",$AN31=""),1,0)+IF(AND($AL31="外国",$AO31=""),1,0))</f>
        <v/>
      </c>
      <c r="AU31">
        <f>IF($B31="","",IF(AND($AA31&lt;&gt;"",$AA31&lt;&gt;"後日提出",$AA31&lt;&gt;"別経路提出",LEN($AA31)&lt;&gt;12),1,0)+IF(AND($AB31&lt;&gt;"",$AB31&lt;&gt;"後日提出",LEN($AB31)&lt;&gt;10),1,0)+IF(AND($AD31&lt;&gt;"",$AD31&lt;&gt;"後日提出",LEN($AD31)&lt;&gt;11),1,0)+IF(AND($AG31&lt;&gt;"",LEN(SUBSTITUTE($AG31,"-",""))&lt;&gt;7),1,0))</f>
        <v/>
      </c>
      <c r="AV31" s="17" t="n"/>
      <c r="AW31" s="59" t="n"/>
      <c r="AX31" s="17" t="n"/>
      <c r="AY31" s="17" t="n"/>
    </row>
    <row r="32">
      <c r="A32" s="23">
        <f>IF($B32="","",ROW()-8)</f>
        <v/>
      </c>
      <c r="B32" s="17" t="n"/>
      <c r="C32" s="17" t="n"/>
      <c r="D32" s="17" t="n"/>
      <c r="E32" s="67" t="n"/>
      <c r="F32" s="58">
        <f>IF(OR($E32="",$E32&gt;80000),"",DATEDIF($E32,IF(OR($G32="",$G32&gt;80000),TODAY(),$G32),"Y"))</f>
        <v/>
      </c>
      <c r="G32" s="67" t="n"/>
      <c r="H32" s="17" t="n"/>
      <c r="I32" s="17" t="n"/>
      <c r="J32" s="67" t="n"/>
      <c r="K32" s="17" t="n"/>
      <c r="L32" s="17" t="n"/>
      <c r="M32" s="17" t="n"/>
      <c r="N32" s="17" t="n"/>
      <c r="O32" s="23">
        <f>IF($B32="","",IF($I32="なし","あり",IF($I32&lt;&gt;"あり","",IF($K32="更新の可能性あり","あり",IF(OR($J32="",$G32=""),"なし",IF(OR(NOT(ISNUMBER($G32)),NOT(ISNUMBER($J32)),$G32&gt;80000,$J32&gt;80000),"要確認（日付）",IF($J32&gt;IF(DAY(EDATE($G32,2))&lt;DAY($G32),EOMONTH($G32,2),EDATE($G32,2)-1),"あり","なし"))))))</f>
        <v/>
      </c>
      <c r="P32" s="23">
        <f>IF($B32="","",IF($I32="なし","あり",IF($I32="あり",IF(OR($K32="更新の可能性あり",AND($J32&lt;&gt;"",$G32&lt;&gt;"",$J32-$G32+1&gt;=31)),"あり","なし"),"")))</f>
        <v/>
      </c>
      <c r="Q32" s="17" t="n"/>
      <c r="R32" s="59" t="n"/>
      <c r="S32" s="59" t="n"/>
      <c r="T32" s="59" t="n"/>
      <c r="U32" s="59" t="n"/>
      <c r="V32" s="59" t="n"/>
      <c r="W32" s="79">
        <f>IF($B32="","",SUM($S32,$T32,$U32,$V32))</f>
        <v/>
      </c>
      <c r="X32" s="23">
        <f>IF(OR('⓪ 事業所設定'!$C$9="",'⓪ 事業所設定'!$C$13="",'⓪ 事業所設定'!$C$14="",'⓪ 事業所設定'!$C$17=""),"事業所設定が未入力です",IF($B32="","",IF(AND($L32&gt;='⓪ 事業所設定'!$C$13*0.75,$M32&gt;='⓪ 事業所設定'!$C$14*0.75,$O32="あり"),"加入（一般被保険者）",IF(AND('⓪ 事業所設定'!$C$12="適用あり",$L32&gt;=20,$O32="あり",$N32&lt;&gt;"昼間部の学生",OR('⓪ 事業所設定'!$C$17&gt;=DATE(2026,10,1),($S32+$T32-N($AW32))&gt;=88000)),"加入（短時間労働者）","加入対象外"))))</f>
        <v/>
      </c>
      <c r="Y32" s="23">
        <f>IF($B32="","",TRIM(IF(AND($F32&lt;&gt;"",$F32&gt;=70,ISNUMBER(SEARCH("加入（",$X32))),"厚年対象外（70歳以上被用者該当届） ","")&amp;IF(AND($F32&lt;&gt;"",$F32&gt;=75),"健保対象外（後期高齢者医療） ","")&amp;IF(AND($F32&lt;&gt;"",$F32&gt;=65,$Z32="加入"),"雇保：高年齢被保険者 ","")))</f>
        <v/>
      </c>
      <c r="Z32" s="23">
        <f>IF($B32="","",IF($H32="役員","対象外（兼務役員なら要相談）",IF(AND($L32&gt;=20,$P32="あり",$N32&lt;&gt;"昼間部の学生"),"加入","加入対象外")))</f>
        <v/>
      </c>
      <c r="AA32" s="61" t="n"/>
      <c r="AB32" s="61" t="n"/>
      <c r="AC32" s="17" t="n"/>
      <c r="AD32" s="61" t="n"/>
      <c r="AE32" s="17" t="n"/>
      <c r="AF32" s="17" t="n"/>
      <c r="AG32" s="61" t="n"/>
      <c r="AH32" s="17" t="n"/>
      <c r="AI32" s="17" t="n"/>
      <c r="AJ32" s="17" t="n"/>
      <c r="AK32" s="17" t="n"/>
      <c r="AL32" s="17" t="n"/>
      <c r="AM32" s="17" t="n"/>
      <c r="AN32" s="67" t="n"/>
      <c r="AO32" s="17" t="n"/>
      <c r="AP32" s="17" t="n"/>
      <c r="AQ32" s="17" t="n"/>
      <c r="AR32" s="17" t="n"/>
      <c r="AT32">
        <f>IF($B32="","",IF($B32="",1,0)+IF($C32="",1,0)+IF($D32="",1,0)+IF($E32="",1,0)+IF($G32="",1,0)+IF($H32="",1,0)+IF($I32="",1,0)+IF($L32="",1,0)+IF($M32="",1,0)+IF($N32="",1,0)+IF($Q32="",1,0)+IF($S32="",1,0)+IF($AA32="",1,0)+IF($AC32="",1,0)+IF($AG32="",1,0)+IF($AH32="",1,0)+IF($AI32="",1,0)+IF($AL32="",1,0)+IF($AP32="",1,0)+IF($AQ32="",1,0)+IF(AND($I32="あり",$J32=""),1,0)+IF(AND($I32="あり",$K32=""),1,0)+IF(AND($AA32="",$AB32=""),1,0)+IF(AND($AC32="あり",$AD32=""),1,0)+IF(AND($AC32="あり",OR($AD32="",$AD32="後日提出"),$AE32=""),1,0)+IF($AV32="",1,0)+IF(AND($AL32="外国",$AM32=""),1,0)+IF(AND($AL32="外国",$AN32=""),1,0)+IF(AND($AL32="外国",$AO32=""),1,0))</f>
        <v/>
      </c>
      <c r="AU32">
        <f>IF($B32="","",IF(AND($AA32&lt;&gt;"",$AA32&lt;&gt;"後日提出",$AA32&lt;&gt;"別経路提出",LEN($AA32)&lt;&gt;12),1,0)+IF(AND($AB32&lt;&gt;"",$AB32&lt;&gt;"後日提出",LEN($AB32)&lt;&gt;10),1,0)+IF(AND($AD32&lt;&gt;"",$AD32&lt;&gt;"後日提出",LEN($AD32)&lt;&gt;11),1,0)+IF(AND($AG32&lt;&gt;"",LEN(SUBSTITUTE($AG32,"-",""))&lt;&gt;7),1,0))</f>
        <v/>
      </c>
      <c r="AV32" s="17" t="n"/>
      <c r="AW32" s="59" t="n"/>
      <c r="AX32" s="17" t="n"/>
      <c r="AY32" s="17" t="n"/>
    </row>
    <row r="33">
      <c r="A33" s="23">
        <f>IF($B33="","",ROW()-8)</f>
        <v/>
      </c>
      <c r="B33" s="17" t="n"/>
      <c r="C33" s="17" t="n"/>
      <c r="D33" s="17" t="n"/>
      <c r="E33" s="67" t="n"/>
      <c r="F33" s="58">
        <f>IF(OR($E33="",$E33&gt;80000),"",DATEDIF($E33,IF(OR($G33="",$G33&gt;80000),TODAY(),$G33),"Y"))</f>
        <v/>
      </c>
      <c r="G33" s="67" t="n"/>
      <c r="H33" s="17" t="n"/>
      <c r="I33" s="17" t="n"/>
      <c r="J33" s="67" t="n"/>
      <c r="K33" s="17" t="n"/>
      <c r="L33" s="17" t="n"/>
      <c r="M33" s="17" t="n"/>
      <c r="N33" s="17" t="n"/>
      <c r="O33" s="23">
        <f>IF($B33="","",IF($I33="なし","あり",IF($I33&lt;&gt;"あり","",IF($K33="更新の可能性あり","あり",IF(OR($J33="",$G33=""),"なし",IF(OR(NOT(ISNUMBER($G33)),NOT(ISNUMBER($J33)),$G33&gt;80000,$J33&gt;80000),"要確認（日付）",IF($J33&gt;IF(DAY(EDATE($G33,2))&lt;DAY($G33),EOMONTH($G33,2),EDATE($G33,2)-1),"あり","なし"))))))</f>
        <v/>
      </c>
      <c r="P33" s="23">
        <f>IF($B33="","",IF($I33="なし","あり",IF($I33="あり",IF(OR($K33="更新の可能性あり",AND($J33&lt;&gt;"",$G33&lt;&gt;"",$J33-$G33+1&gt;=31)),"あり","なし"),"")))</f>
        <v/>
      </c>
      <c r="Q33" s="17" t="n"/>
      <c r="R33" s="59" t="n"/>
      <c r="S33" s="59" t="n"/>
      <c r="T33" s="59" t="n"/>
      <c r="U33" s="59" t="n"/>
      <c r="V33" s="59" t="n"/>
      <c r="W33" s="79">
        <f>IF($B33="","",SUM($S33,$T33,$U33,$V33))</f>
        <v/>
      </c>
      <c r="X33" s="23">
        <f>IF(OR('⓪ 事業所設定'!$C$9="",'⓪ 事業所設定'!$C$13="",'⓪ 事業所設定'!$C$14="",'⓪ 事業所設定'!$C$17=""),"事業所設定が未入力です",IF($B33="","",IF(AND($L33&gt;='⓪ 事業所設定'!$C$13*0.75,$M33&gt;='⓪ 事業所設定'!$C$14*0.75,$O33="あり"),"加入（一般被保険者）",IF(AND('⓪ 事業所設定'!$C$12="適用あり",$L33&gt;=20,$O33="あり",$N33&lt;&gt;"昼間部の学生",OR('⓪ 事業所設定'!$C$17&gt;=DATE(2026,10,1),($S33+$T33-N($AW33))&gt;=88000)),"加入（短時間労働者）","加入対象外"))))</f>
        <v/>
      </c>
      <c r="Y33" s="23">
        <f>IF($B33="","",TRIM(IF(AND($F33&lt;&gt;"",$F33&gt;=70,ISNUMBER(SEARCH("加入（",$X33))),"厚年対象外（70歳以上被用者該当届） ","")&amp;IF(AND($F33&lt;&gt;"",$F33&gt;=75),"健保対象外（後期高齢者医療） ","")&amp;IF(AND($F33&lt;&gt;"",$F33&gt;=65,$Z33="加入"),"雇保：高年齢被保険者 ","")))</f>
        <v/>
      </c>
      <c r="Z33" s="23">
        <f>IF($B33="","",IF($H33="役員","対象外（兼務役員なら要相談）",IF(AND($L33&gt;=20,$P33="あり",$N33&lt;&gt;"昼間部の学生"),"加入","加入対象外")))</f>
        <v/>
      </c>
      <c r="AA33" s="61" t="n"/>
      <c r="AB33" s="61" t="n"/>
      <c r="AC33" s="17" t="n"/>
      <c r="AD33" s="61" t="n"/>
      <c r="AE33" s="17" t="n"/>
      <c r="AF33" s="17" t="n"/>
      <c r="AG33" s="61" t="n"/>
      <c r="AH33" s="17" t="n"/>
      <c r="AI33" s="17" t="n"/>
      <c r="AJ33" s="17" t="n"/>
      <c r="AK33" s="17" t="n"/>
      <c r="AL33" s="17" t="n"/>
      <c r="AM33" s="17" t="n"/>
      <c r="AN33" s="67" t="n"/>
      <c r="AO33" s="17" t="n"/>
      <c r="AP33" s="17" t="n"/>
      <c r="AQ33" s="17" t="n"/>
      <c r="AR33" s="17" t="n"/>
      <c r="AT33">
        <f>IF($B33="","",IF($B33="",1,0)+IF($C33="",1,0)+IF($D33="",1,0)+IF($E33="",1,0)+IF($G33="",1,0)+IF($H33="",1,0)+IF($I33="",1,0)+IF($L33="",1,0)+IF($M33="",1,0)+IF($N33="",1,0)+IF($Q33="",1,0)+IF($S33="",1,0)+IF($AA33="",1,0)+IF($AC33="",1,0)+IF($AG33="",1,0)+IF($AH33="",1,0)+IF($AI33="",1,0)+IF($AL33="",1,0)+IF($AP33="",1,0)+IF($AQ33="",1,0)+IF(AND($I33="あり",$J33=""),1,0)+IF(AND($I33="あり",$K33=""),1,0)+IF(AND($AA33="",$AB33=""),1,0)+IF(AND($AC33="あり",$AD33=""),1,0)+IF(AND($AC33="あり",OR($AD33="",$AD33="後日提出"),$AE33=""),1,0)+IF($AV33="",1,0)+IF(AND($AL33="外国",$AM33=""),1,0)+IF(AND($AL33="外国",$AN33=""),1,0)+IF(AND($AL33="外国",$AO33=""),1,0))</f>
        <v/>
      </c>
      <c r="AU33">
        <f>IF($B33="","",IF(AND($AA33&lt;&gt;"",$AA33&lt;&gt;"後日提出",$AA33&lt;&gt;"別経路提出",LEN($AA33)&lt;&gt;12),1,0)+IF(AND($AB33&lt;&gt;"",$AB33&lt;&gt;"後日提出",LEN($AB33)&lt;&gt;10),1,0)+IF(AND($AD33&lt;&gt;"",$AD33&lt;&gt;"後日提出",LEN($AD33)&lt;&gt;11),1,0)+IF(AND($AG33&lt;&gt;"",LEN(SUBSTITUTE($AG33,"-",""))&lt;&gt;7),1,0))</f>
        <v/>
      </c>
      <c r="AV33" s="17" t="n"/>
      <c r="AW33" s="59" t="n"/>
      <c r="AX33" s="17" t="n"/>
      <c r="AY33" s="17" t="n"/>
    </row>
    <row r="34">
      <c r="A34" s="23">
        <f>IF($B34="","",ROW()-8)</f>
        <v/>
      </c>
      <c r="B34" s="17" t="n"/>
      <c r="C34" s="17" t="n"/>
      <c r="D34" s="17" t="n"/>
      <c r="E34" s="67" t="n"/>
      <c r="F34" s="58">
        <f>IF(OR($E34="",$E34&gt;80000),"",DATEDIF($E34,IF(OR($G34="",$G34&gt;80000),TODAY(),$G34),"Y"))</f>
        <v/>
      </c>
      <c r="G34" s="67" t="n"/>
      <c r="H34" s="17" t="n"/>
      <c r="I34" s="17" t="n"/>
      <c r="J34" s="67" t="n"/>
      <c r="K34" s="17" t="n"/>
      <c r="L34" s="17" t="n"/>
      <c r="M34" s="17" t="n"/>
      <c r="N34" s="17" t="n"/>
      <c r="O34" s="23">
        <f>IF($B34="","",IF($I34="なし","あり",IF($I34&lt;&gt;"あり","",IF($K34="更新の可能性あり","あり",IF(OR($J34="",$G34=""),"なし",IF(OR(NOT(ISNUMBER($G34)),NOT(ISNUMBER($J34)),$G34&gt;80000,$J34&gt;80000),"要確認（日付）",IF($J34&gt;IF(DAY(EDATE($G34,2))&lt;DAY($G34),EOMONTH($G34,2),EDATE($G34,2)-1),"あり","なし"))))))</f>
        <v/>
      </c>
      <c r="P34" s="23">
        <f>IF($B34="","",IF($I34="なし","あり",IF($I34="あり",IF(OR($K34="更新の可能性あり",AND($J34&lt;&gt;"",$G34&lt;&gt;"",$J34-$G34+1&gt;=31)),"あり","なし"),"")))</f>
        <v/>
      </c>
      <c r="Q34" s="17" t="n"/>
      <c r="R34" s="59" t="n"/>
      <c r="S34" s="59" t="n"/>
      <c r="T34" s="59" t="n"/>
      <c r="U34" s="59" t="n"/>
      <c r="V34" s="59" t="n"/>
      <c r="W34" s="79">
        <f>IF($B34="","",SUM($S34,$T34,$U34,$V34))</f>
        <v/>
      </c>
      <c r="X34" s="23">
        <f>IF(OR('⓪ 事業所設定'!$C$9="",'⓪ 事業所設定'!$C$13="",'⓪ 事業所設定'!$C$14="",'⓪ 事業所設定'!$C$17=""),"事業所設定が未入力です",IF($B34="","",IF(AND($L34&gt;='⓪ 事業所設定'!$C$13*0.75,$M34&gt;='⓪ 事業所設定'!$C$14*0.75,$O34="あり"),"加入（一般被保険者）",IF(AND('⓪ 事業所設定'!$C$12="適用あり",$L34&gt;=20,$O34="あり",$N34&lt;&gt;"昼間部の学生",OR('⓪ 事業所設定'!$C$17&gt;=DATE(2026,10,1),($S34+$T34-N($AW34))&gt;=88000)),"加入（短時間労働者）","加入対象外"))))</f>
        <v/>
      </c>
      <c r="Y34" s="23">
        <f>IF($B34="","",TRIM(IF(AND($F34&lt;&gt;"",$F34&gt;=70,ISNUMBER(SEARCH("加入（",$X34))),"厚年対象外（70歳以上被用者該当届） ","")&amp;IF(AND($F34&lt;&gt;"",$F34&gt;=75),"健保対象外（後期高齢者医療） ","")&amp;IF(AND($F34&lt;&gt;"",$F34&gt;=65,$Z34="加入"),"雇保：高年齢被保険者 ","")))</f>
        <v/>
      </c>
      <c r="Z34" s="23">
        <f>IF($B34="","",IF($H34="役員","対象外（兼務役員なら要相談）",IF(AND($L34&gt;=20,$P34="あり",$N34&lt;&gt;"昼間部の学生"),"加入","加入対象外")))</f>
        <v/>
      </c>
      <c r="AA34" s="61" t="n"/>
      <c r="AB34" s="61" t="n"/>
      <c r="AC34" s="17" t="n"/>
      <c r="AD34" s="61" t="n"/>
      <c r="AE34" s="17" t="n"/>
      <c r="AF34" s="17" t="n"/>
      <c r="AG34" s="61" t="n"/>
      <c r="AH34" s="17" t="n"/>
      <c r="AI34" s="17" t="n"/>
      <c r="AJ34" s="17" t="n"/>
      <c r="AK34" s="17" t="n"/>
      <c r="AL34" s="17" t="n"/>
      <c r="AM34" s="17" t="n"/>
      <c r="AN34" s="67" t="n"/>
      <c r="AO34" s="17" t="n"/>
      <c r="AP34" s="17" t="n"/>
      <c r="AQ34" s="17" t="n"/>
      <c r="AR34" s="17" t="n"/>
      <c r="AT34">
        <f>IF($B34="","",IF($B34="",1,0)+IF($C34="",1,0)+IF($D34="",1,0)+IF($E34="",1,0)+IF($G34="",1,0)+IF($H34="",1,0)+IF($I34="",1,0)+IF($L34="",1,0)+IF($M34="",1,0)+IF($N34="",1,0)+IF($Q34="",1,0)+IF($S34="",1,0)+IF($AA34="",1,0)+IF($AC34="",1,0)+IF($AG34="",1,0)+IF($AH34="",1,0)+IF($AI34="",1,0)+IF($AL34="",1,0)+IF($AP34="",1,0)+IF($AQ34="",1,0)+IF(AND($I34="あり",$J34=""),1,0)+IF(AND($I34="あり",$K34=""),1,0)+IF(AND($AA34="",$AB34=""),1,0)+IF(AND($AC34="あり",$AD34=""),1,0)+IF(AND($AC34="あり",OR($AD34="",$AD34="後日提出"),$AE34=""),1,0)+IF($AV34="",1,0)+IF(AND($AL34="外国",$AM34=""),1,0)+IF(AND($AL34="外国",$AN34=""),1,0)+IF(AND($AL34="外国",$AO34=""),1,0))</f>
        <v/>
      </c>
      <c r="AU34">
        <f>IF($B34="","",IF(AND($AA34&lt;&gt;"",$AA34&lt;&gt;"後日提出",$AA34&lt;&gt;"別経路提出",LEN($AA34)&lt;&gt;12),1,0)+IF(AND($AB34&lt;&gt;"",$AB34&lt;&gt;"後日提出",LEN($AB34)&lt;&gt;10),1,0)+IF(AND($AD34&lt;&gt;"",$AD34&lt;&gt;"後日提出",LEN($AD34)&lt;&gt;11),1,0)+IF(AND($AG34&lt;&gt;"",LEN(SUBSTITUTE($AG34,"-",""))&lt;&gt;7),1,0))</f>
        <v/>
      </c>
      <c r="AV34" s="17" t="n"/>
      <c r="AW34" s="59" t="n"/>
      <c r="AX34" s="17" t="n"/>
      <c r="AY34" s="17" t="n"/>
    </row>
    <row r="35">
      <c r="A35" s="23">
        <f>IF($B35="","",ROW()-8)</f>
        <v/>
      </c>
      <c r="B35" s="17" t="n"/>
      <c r="C35" s="17" t="n"/>
      <c r="D35" s="17" t="n"/>
      <c r="E35" s="67" t="n"/>
      <c r="F35" s="58">
        <f>IF(OR($E35="",$E35&gt;80000),"",DATEDIF($E35,IF(OR($G35="",$G35&gt;80000),TODAY(),$G35),"Y"))</f>
        <v/>
      </c>
      <c r="G35" s="67" t="n"/>
      <c r="H35" s="17" t="n"/>
      <c r="I35" s="17" t="n"/>
      <c r="J35" s="67" t="n"/>
      <c r="K35" s="17" t="n"/>
      <c r="L35" s="17" t="n"/>
      <c r="M35" s="17" t="n"/>
      <c r="N35" s="17" t="n"/>
      <c r="O35" s="23">
        <f>IF($B35="","",IF($I35="なし","あり",IF($I35&lt;&gt;"あり","",IF($K35="更新の可能性あり","あり",IF(OR($J35="",$G35=""),"なし",IF(OR(NOT(ISNUMBER($G35)),NOT(ISNUMBER($J35)),$G35&gt;80000,$J35&gt;80000),"要確認（日付）",IF($J35&gt;IF(DAY(EDATE($G35,2))&lt;DAY($G35),EOMONTH($G35,2),EDATE($G35,2)-1),"あり","なし"))))))</f>
        <v/>
      </c>
      <c r="P35" s="23">
        <f>IF($B35="","",IF($I35="なし","あり",IF($I35="あり",IF(OR($K35="更新の可能性あり",AND($J35&lt;&gt;"",$G35&lt;&gt;"",$J35-$G35+1&gt;=31)),"あり","なし"),"")))</f>
        <v/>
      </c>
      <c r="Q35" s="17" t="n"/>
      <c r="R35" s="59" t="n"/>
      <c r="S35" s="59" t="n"/>
      <c r="T35" s="59" t="n"/>
      <c r="U35" s="59" t="n"/>
      <c r="V35" s="59" t="n"/>
      <c r="W35" s="79">
        <f>IF($B35="","",SUM($S35,$T35,$U35,$V35))</f>
        <v/>
      </c>
      <c r="X35" s="23">
        <f>IF(OR('⓪ 事業所設定'!$C$9="",'⓪ 事業所設定'!$C$13="",'⓪ 事業所設定'!$C$14="",'⓪ 事業所設定'!$C$17=""),"事業所設定が未入力です",IF($B35="","",IF(AND($L35&gt;='⓪ 事業所設定'!$C$13*0.75,$M35&gt;='⓪ 事業所設定'!$C$14*0.75,$O35="あり"),"加入（一般被保険者）",IF(AND('⓪ 事業所設定'!$C$12="適用あり",$L35&gt;=20,$O35="あり",$N35&lt;&gt;"昼間部の学生",OR('⓪ 事業所設定'!$C$17&gt;=DATE(2026,10,1),($S35+$T35-N($AW35))&gt;=88000)),"加入（短時間労働者）","加入対象外"))))</f>
        <v/>
      </c>
      <c r="Y35" s="23">
        <f>IF($B35="","",TRIM(IF(AND($F35&lt;&gt;"",$F35&gt;=70,ISNUMBER(SEARCH("加入（",$X35))),"厚年対象外（70歳以上被用者該当届） ","")&amp;IF(AND($F35&lt;&gt;"",$F35&gt;=75),"健保対象外（後期高齢者医療） ","")&amp;IF(AND($F35&lt;&gt;"",$F35&gt;=65,$Z35="加入"),"雇保：高年齢被保険者 ","")))</f>
        <v/>
      </c>
      <c r="Z35" s="23">
        <f>IF($B35="","",IF($H35="役員","対象外（兼務役員なら要相談）",IF(AND($L35&gt;=20,$P35="あり",$N35&lt;&gt;"昼間部の学生"),"加入","加入対象外")))</f>
        <v/>
      </c>
      <c r="AA35" s="61" t="n"/>
      <c r="AB35" s="61" t="n"/>
      <c r="AC35" s="17" t="n"/>
      <c r="AD35" s="61" t="n"/>
      <c r="AE35" s="17" t="n"/>
      <c r="AF35" s="17" t="n"/>
      <c r="AG35" s="61" t="n"/>
      <c r="AH35" s="17" t="n"/>
      <c r="AI35" s="17" t="n"/>
      <c r="AJ35" s="17" t="n"/>
      <c r="AK35" s="17" t="n"/>
      <c r="AL35" s="17" t="n"/>
      <c r="AM35" s="17" t="n"/>
      <c r="AN35" s="67" t="n"/>
      <c r="AO35" s="17" t="n"/>
      <c r="AP35" s="17" t="n"/>
      <c r="AQ35" s="17" t="n"/>
      <c r="AR35" s="17" t="n"/>
      <c r="AT35">
        <f>IF($B35="","",IF($B35="",1,0)+IF($C35="",1,0)+IF($D35="",1,0)+IF($E35="",1,0)+IF($G35="",1,0)+IF($H35="",1,0)+IF($I35="",1,0)+IF($L35="",1,0)+IF($M35="",1,0)+IF($N35="",1,0)+IF($Q35="",1,0)+IF($S35="",1,0)+IF($AA35="",1,0)+IF($AC35="",1,0)+IF($AG35="",1,0)+IF($AH35="",1,0)+IF($AI35="",1,0)+IF($AL35="",1,0)+IF($AP35="",1,0)+IF($AQ35="",1,0)+IF(AND($I35="あり",$J35=""),1,0)+IF(AND($I35="あり",$K35=""),1,0)+IF(AND($AA35="",$AB35=""),1,0)+IF(AND($AC35="あり",$AD35=""),1,0)+IF(AND($AC35="あり",OR($AD35="",$AD35="後日提出"),$AE35=""),1,0)+IF($AV35="",1,0)+IF(AND($AL35="外国",$AM35=""),1,0)+IF(AND($AL35="外国",$AN35=""),1,0)+IF(AND($AL35="外国",$AO35=""),1,0))</f>
        <v/>
      </c>
      <c r="AU35">
        <f>IF($B35="","",IF(AND($AA35&lt;&gt;"",$AA35&lt;&gt;"後日提出",$AA35&lt;&gt;"別経路提出",LEN($AA35)&lt;&gt;12),1,0)+IF(AND($AB35&lt;&gt;"",$AB35&lt;&gt;"後日提出",LEN($AB35)&lt;&gt;10),1,0)+IF(AND($AD35&lt;&gt;"",$AD35&lt;&gt;"後日提出",LEN($AD35)&lt;&gt;11),1,0)+IF(AND($AG35&lt;&gt;"",LEN(SUBSTITUTE($AG35,"-",""))&lt;&gt;7),1,0))</f>
        <v/>
      </c>
      <c r="AV35" s="17" t="n"/>
      <c r="AW35" s="59" t="n"/>
      <c r="AX35" s="17" t="n"/>
      <c r="AY35" s="17" t="n"/>
    </row>
    <row r="36">
      <c r="A36" s="23">
        <f>IF($B36="","",ROW()-8)</f>
        <v/>
      </c>
      <c r="B36" s="17" t="n"/>
      <c r="C36" s="17" t="n"/>
      <c r="D36" s="17" t="n"/>
      <c r="E36" s="67" t="n"/>
      <c r="F36" s="58">
        <f>IF(OR($E36="",$E36&gt;80000),"",DATEDIF($E36,IF(OR($G36="",$G36&gt;80000),TODAY(),$G36),"Y"))</f>
        <v/>
      </c>
      <c r="G36" s="67" t="n"/>
      <c r="H36" s="17" t="n"/>
      <c r="I36" s="17" t="n"/>
      <c r="J36" s="67" t="n"/>
      <c r="K36" s="17" t="n"/>
      <c r="L36" s="17" t="n"/>
      <c r="M36" s="17" t="n"/>
      <c r="N36" s="17" t="n"/>
      <c r="O36" s="23">
        <f>IF($B36="","",IF($I36="なし","あり",IF($I36&lt;&gt;"あり","",IF($K36="更新の可能性あり","あり",IF(OR($J36="",$G36=""),"なし",IF(OR(NOT(ISNUMBER($G36)),NOT(ISNUMBER($J36)),$G36&gt;80000,$J36&gt;80000),"要確認（日付）",IF($J36&gt;IF(DAY(EDATE($G36,2))&lt;DAY($G36),EOMONTH($G36,2),EDATE($G36,2)-1),"あり","なし"))))))</f>
        <v/>
      </c>
      <c r="P36" s="23">
        <f>IF($B36="","",IF($I36="なし","あり",IF($I36="あり",IF(OR($K36="更新の可能性あり",AND($J36&lt;&gt;"",$G36&lt;&gt;"",$J36-$G36+1&gt;=31)),"あり","なし"),"")))</f>
        <v/>
      </c>
      <c r="Q36" s="17" t="n"/>
      <c r="R36" s="59" t="n"/>
      <c r="S36" s="59" t="n"/>
      <c r="T36" s="59" t="n"/>
      <c r="U36" s="59" t="n"/>
      <c r="V36" s="59" t="n"/>
      <c r="W36" s="79">
        <f>IF($B36="","",SUM($S36,$T36,$U36,$V36))</f>
        <v/>
      </c>
      <c r="X36" s="23">
        <f>IF(OR('⓪ 事業所設定'!$C$9="",'⓪ 事業所設定'!$C$13="",'⓪ 事業所設定'!$C$14="",'⓪ 事業所設定'!$C$17=""),"事業所設定が未入力です",IF($B36="","",IF(AND($L36&gt;='⓪ 事業所設定'!$C$13*0.75,$M36&gt;='⓪ 事業所設定'!$C$14*0.75,$O36="あり"),"加入（一般被保険者）",IF(AND('⓪ 事業所設定'!$C$12="適用あり",$L36&gt;=20,$O36="あり",$N36&lt;&gt;"昼間部の学生",OR('⓪ 事業所設定'!$C$17&gt;=DATE(2026,10,1),($S36+$T36-N($AW36))&gt;=88000)),"加入（短時間労働者）","加入対象外"))))</f>
        <v/>
      </c>
      <c r="Y36" s="23">
        <f>IF($B36="","",TRIM(IF(AND($F36&lt;&gt;"",$F36&gt;=70,ISNUMBER(SEARCH("加入（",$X36))),"厚年対象外（70歳以上被用者該当届） ","")&amp;IF(AND($F36&lt;&gt;"",$F36&gt;=75),"健保対象外（後期高齢者医療） ","")&amp;IF(AND($F36&lt;&gt;"",$F36&gt;=65,$Z36="加入"),"雇保：高年齢被保険者 ","")))</f>
        <v/>
      </c>
      <c r="Z36" s="23">
        <f>IF($B36="","",IF($H36="役員","対象外（兼務役員なら要相談）",IF(AND($L36&gt;=20,$P36="あり",$N36&lt;&gt;"昼間部の学生"),"加入","加入対象外")))</f>
        <v/>
      </c>
      <c r="AA36" s="61" t="n"/>
      <c r="AB36" s="61" t="n"/>
      <c r="AC36" s="17" t="n"/>
      <c r="AD36" s="61" t="n"/>
      <c r="AE36" s="17" t="n"/>
      <c r="AF36" s="17" t="n"/>
      <c r="AG36" s="61" t="n"/>
      <c r="AH36" s="17" t="n"/>
      <c r="AI36" s="17" t="n"/>
      <c r="AJ36" s="17" t="n"/>
      <c r="AK36" s="17" t="n"/>
      <c r="AL36" s="17" t="n"/>
      <c r="AM36" s="17" t="n"/>
      <c r="AN36" s="67" t="n"/>
      <c r="AO36" s="17" t="n"/>
      <c r="AP36" s="17" t="n"/>
      <c r="AQ36" s="17" t="n"/>
      <c r="AR36" s="17" t="n"/>
      <c r="AT36">
        <f>IF($B36="","",IF($B36="",1,0)+IF($C36="",1,0)+IF($D36="",1,0)+IF($E36="",1,0)+IF($G36="",1,0)+IF($H36="",1,0)+IF($I36="",1,0)+IF($L36="",1,0)+IF($M36="",1,0)+IF($N36="",1,0)+IF($Q36="",1,0)+IF($S36="",1,0)+IF($AA36="",1,0)+IF($AC36="",1,0)+IF($AG36="",1,0)+IF($AH36="",1,0)+IF($AI36="",1,0)+IF($AL36="",1,0)+IF($AP36="",1,0)+IF($AQ36="",1,0)+IF(AND($I36="あり",$J36=""),1,0)+IF(AND($I36="あり",$K36=""),1,0)+IF(AND($AA36="",$AB36=""),1,0)+IF(AND($AC36="あり",$AD36=""),1,0)+IF(AND($AC36="あり",OR($AD36="",$AD36="後日提出"),$AE36=""),1,0)+IF($AV36="",1,0)+IF(AND($AL36="外国",$AM36=""),1,0)+IF(AND($AL36="外国",$AN36=""),1,0)+IF(AND($AL36="外国",$AO36=""),1,0))</f>
        <v/>
      </c>
      <c r="AU36">
        <f>IF($B36="","",IF(AND($AA36&lt;&gt;"",$AA36&lt;&gt;"後日提出",$AA36&lt;&gt;"別経路提出",LEN($AA36)&lt;&gt;12),1,0)+IF(AND($AB36&lt;&gt;"",$AB36&lt;&gt;"後日提出",LEN($AB36)&lt;&gt;10),1,0)+IF(AND($AD36&lt;&gt;"",$AD36&lt;&gt;"後日提出",LEN($AD36)&lt;&gt;11),1,0)+IF(AND($AG36&lt;&gt;"",LEN(SUBSTITUTE($AG36,"-",""))&lt;&gt;7),1,0))</f>
        <v/>
      </c>
      <c r="AV36" s="17" t="n"/>
      <c r="AW36" s="59" t="n"/>
      <c r="AX36" s="17" t="n"/>
      <c r="AY36" s="17" t="n"/>
    </row>
    <row r="37">
      <c r="A37" s="23">
        <f>IF($B37="","",ROW()-8)</f>
        <v/>
      </c>
      <c r="B37" s="17" t="n"/>
      <c r="C37" s="17" t="n"/>
      <c r="D37" s="17" t="n"/>
      <c r="E37" s="67" t="n"/>
      <c r="F37" s="58">
        <f>IF(OR($E37="",$E37&gt;80000),"",DATEDIF($E37,IF(OR($G37="",$G37&gt;80000),TODAY(),$G37),"Y"))</f>
        <v/>
      </c>
      <c r="G37" s="67" t="n"/>
      <c r="H37" s="17" t="n"/>
      <c r="I37" s="17" t="n"/>
      <c r="J37" s="67" t="n"/>
      <c r="K37" s="17" t="n"/>
      <c r="L37" s="17" t="n"/>
      <c r="M37" s="17" t="n"/>
      <c r="N37" s="17" t="n"/>
      <c r="O37" s="23">
        <f>IF($B37="","",IF($I37="なし","あり",IF($I37&lt;&gt;"あり","",IF($K37="更新の可能性あり","あり",IF(OR($J37="",$G37=""),"なし",IF(OR(NOT(ISNUMBER($G37)),NOT(ISNUMBER($J37)),$G37&gt;80000,$J37&gt;80000),"要確認（日付）",IF($J37&gt;IF(DAY(EDATE($G37,2))&lt;DAY($G37),EOMONTH($G37,2),EDATE($G37,2)-1),"あり","なし"))))))</f>
        <v/>
      </c>
      <c r="P37" s="23">
        <f>IF($B37="","",IF($I37="なし","あり",IF($I37="あり",IF(OR($K37="更新の可能性あり",AND($J37&lt;&gt;"",$G37&lt;&gt;"",$J37-$G37+1&gt;=31)),"あり","なし"),"")))</f>
        <v/>
      </c>
      <c r="Q37" s="17" t="n"/>
      <c r="R37" s="59" t="n"/>
      <c r="S37" s="59" t="n"/>
      <c r="T37" s="59" t="n"/>
      <c r="U37" s="59" t="n"/>
      <c r="V37" s="59" t="n"/>
      <c r="W37" s="79">
        <f>IF($B37="","",SUM($S37,$T37,$U37,$V37))</f>
        <v/>
      </c>
      <c r="X37" s="23">
        <f>IF(OR('⓪ 事業所設定'!$C$9="",'⓪ 事業所設定'!$C$13="",'⓪ 事業所設定'!$C$14="",'⓪ 事業所設定'!$C$17=""),"事業所設定が未入力です",IF($B37="","",IF(AND($L37&gt;='⓪ 事業所設定'!$C$13*0.75,$M37&gt;='⓪ 事業所設定'!$C$14*0.75,$O37="あり"),"加入（一般被保険者）",IF(AND('⓪ 事業所設定'!$C$12="適用あり",$L37&gt;=20,$O37="あり",$N37&lt;&gt;"昼間部の学生",OR('⓪ 事業所設定'!$C$17&gt;=DATE(2026,10,1),($S37+$T37-N($AW37))&gt;=88000)),"加入（短時間労働者）","加入対象外"))))</f>
        <v/>
      </c>
      <c r="Y37" s="23">
        <f>IF($B37="","",TRIM(IF(AND($F37&lt;&gt;"",$F37&gt;=70,ISNUMBER(SEARCH("加入（",$X37))),"厚年対象外（70歳以上被用者該当届） ","")&amp;IF(AND($F37&lt;&gt;"",$F37&gt;=75),"健保対象外（後期高齢者医療） ","")&amp;IF(AND($F37&lt;&gt;"",$F37&gt;=65,$Z37="加入"),"雇保：高年齢被保険者 ","")))</f>
        <v/>
      </c>
      <c r="Z37" s="23">
        <f>IF($B37="","",IF($H37="役員","対象外（兼務役員なら要相談）",IF(AND($L37&gt;=20,$P37="あり",$N37&lt;&gt;"昼間部の学生"),"加入","加入対象外")))</f>
        <v/>
      </c>
      <c r="AA37" s="61" t="n"/>
      <c r="AB37" s="61" t="n"/>
      <c r="AC37" s="17" t="n"/>
      <c r="AD37" s="61" t="n"/>
      <c r="AE37" s="17" t="n"/>
      <c r="AF37" s="17" t="n"/>
      <c r="AG37" s="61" t="n"/>
      <c r="AH37" s="17" t="n"/>
      <c r="AI37" s="17" t="n"/>
      <c r="AJ37" s="17" t="n"/>
      <c r="AK37" s="17" t="n"/>
      <c r="AL37" s="17" t="n"/>
      <c r="AM37" s="17" t="n"/>
      <c r="AN37" s="67" t="n"/>
      <c r="AO37" s="17" t="n"/>
      <c r="AP37" s="17" t="n"/>
      <c r="AQ37" s="17" t="n"/>
      <c r="AR37" s="17" t="n"/>
      <c r="AT37">
        <f>IF($B37="","",IF($B37="",1,0)+IF($C37="",1,0)+IF($D37="",1,0)+IF($E37="",1,0)+IF($G37="",1,0)+IF($H37="",1,0)+IF($I37="",1,0)+IF($L37="",1,0)+IF($M37="",1,0)+IF($N37="",1,0)+IF($Q37="",1,0)+IF($S37="",1,0)+IF($AA37="",1,0)+IF($AC37="",1,0)+IF($AG37="",1,0)+IF($AH37="",1,0)+IF($AI37="",1,0)+IF($AL37="",1,0)+IF($AP37="",1,0)+IF($AQ37="",1,0)+IF(AND($I37="あり",$J37=""),1,0)+IF(AND($I37="あり",$K37=""),1,0)+IF(AND($AA37="",$AB37=""),1,0)+IF(AND($AC37="あり",$AD37=""),1,0)+IF(AND($AC37="あり",OR($AD37="",$AD37="後日提出"),$AE37=""),1,0)+IF($AV37="",1,0)+IF(AND($AL37="外国",$AM37=""),1,0)+IF(AND($AL37="外国",$AN37=""),1,0)+IF(AND($AL37="外国",$AO37=""),1,0))</f>
        <v/>
      </c>
      <c r="AU37">
        <f>IF($B37="","",IF(AND($AA37&lt;&gt;"",$AA37&lt;&gt;"後日提出",$AA37&lt;&gt;"別経路提出",LEN($AA37)&lt;&gt;12),1,0)+IF(AND($AB37&lt;&gt;"",$AB37&lt;&gt;"後日提出",LEN($AB37)&lt;&gt;10),1,0)+IF(AND($AD37&lt;&gt;"",$AD37&lt;&gt;"後日提出",LEN($AD37)&lt;&gt;11),1,0)+IF(AND($AG37&lt;&gt;"",LEN(SUBSTITUTE($AG37,"-",""))&lt;&gt;7),1,0))</f>
        <v/>
      </c>
      <c r="AV37" s="17" t="n"/>
      <c r="AW37" s="59" t="n"/>
      <c r="AX37" s="17" t="n"/>
      <c r="AY37" s="17" t="n"/>
    </row>
    <row r="38">
      <c r="A38" s="23">
        <f>IF($B38="","",ROW()-8)</f>
        <v/>
      </c>
      <c r="B38" s="17" t="n"/>
      <c r="C38" s="17" t="n"/>
      <c r="D38" s="17" t="n"/>
      <c r="E38" s="67" t="n"/>
      <c r="F38" s="58">
        <f>IF(OR($E38="",$E38&gt;80000),"",DATEDIF($E38,IF(OR($G38="",$G38&gt;80000),TODAY(),$G38),"Y"))</f>
        <v/>
      </c>
      <c r="G38" s="67" t="n"/>
      <c r="H38" s="17" t="n"/>
      <c r="I38" s="17" t="n"/>
      <c r="J38" s="67" t="n"/>
      <c r="K38" s="17" t="n"/>
      <c r="L38" s="17" t="n"/>
      <c r="M38" s="17" t="n"/>
      <c r="N38" s="17" t="n"/>
      <c r="O38" s="23">
        <f>IF($B38="","",IF($I38="なし","あり",IF($I38&lt;&gt;"あり","",IF($K38="更新の可能性あり","あり",IF(OR($J38="",$G38=""),"なし",IF(OR(NOT(ISNUMBER($G38)),NOT(ISNUMBER($J38)),$G38&gt;80000,$J38&gt;80000),"要確認（日付）",IF($J38&gt;IF(DAY(EDATE($G38,2))&lt;DAY($G38),EOMONTH($G38,2),EDATE($G38,2)-1),"あり","なし"))))))</f>
        <v/>
      </c>
      <c r="P38" s="23">
        <f>IF($B38="","",IF($I38="なし","あり",IF($I38="あり",IF(OR($K38="更新の可能性あり",AND($J38&lt;&gt;"",$G38&lt;&gt;"",$J38-$G38+1&gt;=31)),"あり","なし"),"")))</f>
        <v/>
      </c>
      <c r="Q38" s="17" t="n"/>
      <c r="R38" s="59" t="n"/>
      <c r="S38" s="59" t="n"/>
      <c r="T38" s="59" t="n"/>
      <c r="U38" s="59" t="n"/>
      <c r="V38" s="59" t="n"/>
      <c r="W38" s="79">
        <f>IF($B38="","",SUM($S38,$T38,$U38,$V38))</f>
        <v/>
      </c>
      <c r="X38" s="23">
        <f>IF(OR('⓪ 事業所設定'!$C$9="",'⓪ 事業所設定'!$C$13="",'⓪ 事業所設定'!$C$14="",'⓪ 事業所設定'!$C$17=""),"事業所設定が未入力です",IF($B38="","",IF(AND($L38&gt;='⓪ 事業所設定'!$C$13*0.75,$M38&gt;='⓪ 事業所設定'!$C$14*0.75,$O38="あり"),"加入（一般被保険者）",IF(AND('⓪ 事業所設定'!$C$12="適用あり",$L38&gt;=20,$O38="あり",$N38&lt;&gt;"昼間部の学生",OR('⓪ 事業所設定'!$C$17&gt;=DATE(2026,10,1),($S38+$T38-N($AW38))&gt;=88000)),"加入（短時間労働者）","加入対象外"))))</f>
        <v/>
      </c>
      <c r="Y38" s="23">
        <f>IF($B38="","",TRIM(IF(AND($F38&lt;&gt;"",$F38&gt;=70,ISNUMBER(SEARCH("加入（",$X38))),"厚年対象外（70歳以上被用者該当届） ","")&amp;IF(AND($F38&lt;&gt;"",$F38&gt;=75),"健保対象外（後期高齢者医療） ","")&amp;IF(AND($F38&lt;&gt;"",$F38&gt;=65,$Z38="加入"),"雇保：高年齢被保険者 ","")))</f>
        <v/>
      </c>
      <c r="Z38" s="23">
        <f>IF($B38="","",IF($H38="役員","対象外（兼務役員なら要相談）",IF(AND($L38&gt;=20,$P38="あり",$N38&lt;&gt;"昼間部の学生"),"加入","加入対象外")))</f>
        <v/>
      </c>
      <c r="AA38" s="61" t="n"/>
      <c r="AB38" s="61" t="n"/>
      <c r="AC38" s="17" t="n"/>
      <c r="AD38" s="61" t="n"/>
      <c r="AE38" s="17" t="n"/>
      <c r="AF38" s="17" t="n"/>
      <c r="AG38" s="61" t="n"/>
      <c r="AH38" s="17" t="n"/>
      <c r="AI38" s="17" t="n"/>
      <c r="AJ38" s="17" t="n"/>
      <c r="AK38" s="17" t="n"/>
      <c r="AL38" s="17" t="n"/>
      <c r="AM38" s="17" t="n"/>
      <c r="AN38" s="67" t="n"/>
      <c r="AO38" s="17" t="n"/>
      <c r="AP38" s="17" t="n"/>
      <c r="AQ38" s="17" t="n"/>
      <c r="AR38" s="17" t="n"/>
      <c r="AT38">
        <f>IF($B38="","",IF($B38="",1,0)+IF($C38="",1,0)+IF($D38="",1,0)+IF($E38="",1,0)+IF($G38="",1,0)+IF($H38="",1,0)+IF($I38="",1,0)+IF($L38="",1,0)+IF($M38="",1,0)+IF($N38="",1,0)+IF($Q38="",1,0)+IF($S38="",1,0)+IF($AA38="",1,0)+IF($AC38="",1,0)+IF($AG38="",1,0)+IF($AH38="",1,0)+IF($AI38="",1,0)+IF($AL38="",1,0)+IF($AP38="",1,0)+IF($AQ38="",1,0)+IF(AND($I38="あり",$J38=""),1,0)+IF(AND($I38="あり",$K38=""),1,0)+IF(AND($AA38="",$AB38=""),1,0)+IF(AND($AC38="あり",$AD38=""),1,0)+IF(AND($AC38="あり",OR($AD38="",$AD38="後日提出"),$AE38=""),1,0)+IF($AV38="",1,0)+IF(AND($AL38="外国",$AM38=""),1,0)+IF(AND($AL38="外国",$AN38=""),1,0)+IF(AND($AL38="外国",$AO38=""),1,0))</f>
        <v/>
      </c>
      <c r="AU38">
        <f>IF($B38="","",IF(AND($AA38&lt;&gt;"",$AA38&lt;&gt;"後日提出",$AA38&lt;&gt;"別経路提出",LEN($AA38)&lt;&gt;12),1,0)+IF(AND($AB38&lt;&gt;"",$AB38&lt;&gt;"後日提出",LEN($AB38)&lt;&gt;10),1,0)+IF(AND($AD38&lt;&gt;"",$AD38&lt;&gt;"後日提出",LEN($AD38)&lt;&gt;11),1,0)+IF(AND($AG38&lt;&gt;"",LEN(SUBSTITUTE($AG38,"-",""))&lt;&gt;7),1,0))</f>
        <v/>
      </c>
      <c r="AV38" s="17" t="n"/>
      <c r="AW38" s="59" t="n"/>
      <c r="AX38" s="17" t="n"/>
      <c r="AY38" s="17" t="n"/>
    </row>
    <row r="39">
      <c r="A39" s="23">
        <f>IF($B39="","",ROW()-8)</f>
        <v/>
      </c>
      <c r="B39" s="17" t="n"/>
      <c r="C39" s="17" t="n"/>
      <c r="D39" s="17" t="n"/>
      <c r="E39" s="67" t="n"/>
      <c r="F39" s="58">
        <f>IF(OR($E39="",$E39&gt;80000),"",DATEDIF($E39,IF(OR($G39="",$G39&gt;80000),TODAY(),$G39),"Y"))</f>
        <v/>
      </c>
      <c r="G39" s="67" t="n"/>
      <c r="H39" s="17" t="n"/>
      <c r="I39" s="17" t="n"/>
      <c r="J39" s="67" t="n"/>
      <c r="K39" s="17" t="n"/>
      <c r="L39" s="17" t="n"/>
      <c r="M39" s="17" t="n"/>
      <c r="N39" s="17" t="n"/>
      <c r="O39" s="23">
        <f>IF($B39="","",IF($I39="なし","あり",IF($I39&lt;&gt;"あり","",IF($K39="更新の可能性あり","あり",IF(OR($J39="",$G39=""),"なし",IF(OR(NOT(ISNUMBER($G39)),NOT(ISNUMBER($J39)),$G39&gt;80000,$J39&gt;80000),"要確認（日付）",IF($J39&gt;IF(DAY(EDATE($G39,2))&lt;DAY($G39),EOMONTH($G39,2),EDATE($G39,2)-1),"あり","なし"))))))</f>
        <v/>
      </c>
      <c r="P39" s="23">
        <f>IF($B39="","",IF($I39="なし","あり",IF($I39="あり",IF(OR($K39="更新の可能性あり",AND($J39&lt;&gt;"",$G39&lt;&gt;"",$J39-$G39+1&gt;=31)),"あり","なし"),"")))</f>
        <v/>
      </c>
      <c r="Q39" s="17" t="n"/>
      <c r="R39" s="59" t="n"/>
      <c r="S39" s="59" t="n"/>
      <c r="T39" s="59" t="n"/>
      <c r="U39" s="59" t="n"/>
      <c r="V39" s="59" t="n"/>
      <c r="W39" s="79">
        <f>IF($B39="","",SUM($S39,$T39,$U39,$V39))</f>
        <v/>
      </c>
      <c r="X39" s="23">
        <f>IF(OR('⓪ 事業所設定'!$C$9="",'⓪ 事業所設定'!$C$13="",'⓪ 事業所設定'!$C$14="",'⓪ 事業所設定'!$C$17=""),"事業所設定が未入力です",IF($B39="","",IF(AND($L39&gt;='⓪ 事業所設定'!$C$13*0.75,$M39&gt;='⓪ 事業所設定'!$C$14*0.75,$O39="あり"),"加入（一般被保険者）",IF(AND('⓪ 事業所設定'!$C$12="適用あり",$L39&gt;=20,$O39="あり",$N39&lt;&gt;"昼間部の学生",OR('⓪ 事業所設定'!$C$17&gt;=DATE(2026,10,1),($S39+$T39-N($AW39))&gt;=88000)),"加入（短時間労働者）","加入対象外"))))</f>
        <v/>
      </c>
      <c r="Y39" s="23">
        <f>IF($B39="","",TRIM(IF(AND($F39&lt;&gt;"",$F39&gt;=70,ISNUMBER(SEARCH("加入（",$X39))),"厚年対象外（70歳以上被用者該当届） ","")&amp;IF(AND($F39&lt;&gt;"",$F39&gt;=75),"健保対象外（後期高齢者医療） ","")&amp;IF(AND($F39&lt;&gt;"",$F39&gt;=65,$Z39="加入"),"雇保：高年齢被保険者 ","")))</f>
        <v/>
      </c>
      <c r="Z39" s="23">
        <f>IF($B39="","",IF($H39="役員","対象外（兼務役員なら要相談）",IF(AND($L39&gt;=20,$P39="あり",$N39&lt;&gt;"昼間部の学生"),"加入","加入対象外")))</f>
        <v/>
      </c>
      <c r="AA39" s="61" t="n"/>
      <c r="AB39" s="61" t="n"/>
      <c r="AC39" s="17" t="n"/>
      <c r="AD39" s="61" t="n"/>
      <c r="AE39" s="17" t="n"/>
      <c r="AF39" s="17" t="n"/>
      <c r="AG39" s="61" t="n"/>
      <c r="AH39" s="17" t="n"/>
      <c r="AI39" s="17" t="n"/>
      <c r="AJ39" s="17" t="n"/>
      <c r="AK39" s="17" t="n"/>
      <c r="AL39" s="17" t="n"/>
      <c r="AM39" s="17" t="n"/>
      <c r="AN39" s="67" t="n"/>
      <c r="AO39" s="17" t="n"/>
      <c r="AP39" s="17" t="n"/>
      <c r="AQ39" s="17" t="n"/>
      <c r="AR39" s="17" t="n"/>
      <c r="AT39">
        <f>IF($B39="","",IF($B39="",1,0)+IF($C39="",1,0)+IF($D39="",1,0)+IF($E39="",1,0)+IF($G39="",1,0)+IF($H39="",1,0)+IF($I39="",1,0)+IF($L39="",1,0)+IF($M39="",1,0)+IF($N39="",1,0)+IF($Q39="",1,0)+IF($S39="",1,0)+IF($AA39="",1,0)+IF($AC39="",1,0)+IF($AG39="",1,0)+IF($AH39="",1,0)+IF($AI39="",1,0)+IF($AL39="",1,0)+IF($AP39="",1,0)+IF($AQ39="",1,0)+IF(AND($I39="あり",$J39=""),1,0)+IF(AND($I39="あり",$K39=""),1,0)+IF(AND($AA39="",$AB39=""),1,0)+IF(AND($AC39="あり",$AD39=""),1,0)+IF(AND($AC39="あり",OR($AD39="",$AD39="後日提出"),$AE39=""),1,0)+IF($AV39="",1,0)+IF(AND($AL39="外国",$AM39=""),1,0)+IF(AND($AL39="外国",$AN39=""),1,0)+IF(AND($AL39="外国",$AO39=""),1,0))</f>
        <v/>
      </c>
      <c r="AU39">
        <f>IF($B39="","",IF(AND($AA39&lt;&gt;"",$AA39&lt;&gt;"後日提出",$AA39&lt;&gt;"別経路提出",LEN($AA39)&lt;&gt;12),1,0)+IF(AND($AB39&lt;&gt;"",$AB39&lt;&gt;"後日提出",LEN($AB39)&lt;&gt;10),1,0)+IF(AND($AD39&lt;&gt;"",$AD39&lt;&gt;"後日提出",LEN($AD39)&lt;&gt;11),1,0)+IF(AND($AG39&lt;&gt;"",LEN(SUBSTITUTE($AG39,"-",""))&lt;&gt;7),1,0))</f>
        <v/>
      </c>
      <c r="AV39" s="17" t="n"/>
      <c r="AW39" s="59" t="n"/>
      <c r="AX39" s="17" t="n"/>
      <c r="AY39" s="17" t="n"/>
    </row>
    <row r="40">
      <c r="A40" s="23">
        <f>IF($B40="","",ROW()-8)</f>
        <v/>
      </c>
      <c r="B40" s="17" t="n"/>
      <c r="C40" s="17" t="n"/>
      <c r="D40" s="17" t="n"/>
      <c r="E40" s="67" t="n"/>
      <c r="F40" s="58">
        <f>IF(OR($E40="",$E40&gt;80000),"",DATEDIF($E40,IF(OR($G40="",$G40&gt;80000),TODAY(),$G40),"Y"))</f>
        <v/>
      </c>
      <c r="G40" s="67" t="n"/>
      <c r="H40" s="17" t="n"/>
      <c r="I40" s="17" t="n"/>
      <c r="J40" s="67" t="n"/>
      <c r="K40" s="17" t="n"/>
      <c r="L40" s="17" t="n"/>
      <c r="M40" s="17" t="n"/>
      <c r="N40" s="17" t="n"/>
      <c r="O40" s="23">
        <f>IF($B40="","",IF($I40="なし","あり",IF($I40&lt;&gt;"あり","",IF($K40="更新の可能性あり","あり",IF(OR($J40="",$G40=""),"なし",IF(OR(NOT(ISNUMBER($G40)),NOT(ISNUMBER($J40)),$G40&gt;80000,$J40&gt;80000),"要確認（日付）",IF($J40&gt;IF(DAY(EDATE($G40,2))&lt;DAY($G40),EOMONTH($G40,2),EDATE($G40,2)-1),"あり","なし"))))))</f>
        <v/>
      </c>
      <c r="P40" s="23">
        <f>IF($B40="","",IF($I40="なし","あり",IF($I40="あり",IF(OR($K40="更新の可能性あり",AND($J40&lt;&gt;"",$G40&lt;&gt;"",$J40-$G40+1&gt;=31)),"あり","なし"),"")))</f>
        <v/>
      </c>
      <c r="Q40" s="17" t="n"/>
      <c r="R40" s="59" t="n"/>
      <c r="S40" s="59" t="n"/>
      <c r="T40" s="59" t="n"/>
      <c r="U40" s="59" t="n"/>
      <c r="V40" s="59" t="n"/>
      <c r="W40" s="79">
        <f>IF($B40="","",SUM($S40,$T40,$U40,$V40))</f>
        <v/>
      </c>
      <c r="X40" s="23">
        <f>IF(OR('⓪ 事業所設定'!$C$9="",'⓪ 事業所設定'!$C$13="",'⓪ 事業所設定'!$C$14="",'⓪ 事業所設定'!$C$17=""),"事業所設定が未入力です",IF($B40="","",IF(AND($L40&gt;='⓪ 事業所設定'!$C$13*0.75,$M40&gt;='⓪ 事業所設定'!$C$14*0.75,$O40="あり"),"加入（一般被保険者）",IF(AND('⓪ 事業所設定'!$C$12="適用あり",$L40&gt;=20,$O40="あり",$N40&lt;&gt;"昼間部の学生",OR('⓪ 事業所設定'!$C$17&gt;=DATE(2026,10,1),($S40+$T40-N($AW40))&gt;=88000)),"加入（短時間労働者）","加入対象外"))))</f>
        <v/>
      </c>
      <c r="Y40" s="23">
        <f>IF($B40="","",TRIM(IF(AND($F40&lt;&gt;"",$F40&gt;=70,ISNUMBER(SEARCH("加入（",$X40))),"厚年対象外（70歳以上被用者該当届） ","")&amp;IF(AND($F40&lt;&gt;"",$F40&gt;=75),"健保対象外（後期高齢者医療） ","")&amp;IF(AND($F40&lt;&gt;"",$F40&gt;=65,$Z40="加入"),"雇保：高年齢被保険者 ","")))</f>
        <v/>
      </c>
      <c r="Z40" s="23">
        <f>IF($B40="","",IF($H40="役員","対象外（兼務役員なら要相談）",IF(AND($L40&gt;=20,$P40="あり",$N40&lt;&gt;"昼間部の学生"),"加入","加入対象外")))</f>
        <v/>
      </c>
      <c r="AA40" s="61" t="n"/>
      <c r="AB40" s="61" t="n"/>
      <c r="AC40" s="17" t="n"/>
      <c r="AD40" s="61" t="n"/>
      <c r="AE40" s="17" t="n"/>
      <c r="AF40" s="17" t="n"/>
      <c r="AG40" s="61" t="n"/>
      <c r="AH40" s="17" t="n"/>
      <c r="AI40" s="17" t="n"/>
      <c r="AJ40" s="17" t="n"/>
      <c r="AK40" s="17" t="n"/>
      <c r="AL40" s="17" t="n"/>
      <c r="AM40" s="17" t="n"/>
      <c r="AN40" s="67" t="n"/>
      <c r="AO40" s="17" t="n"/>
      <c r="AP40" s="17" t="n"/>
      <c r="AQ40" s="17" t="n"/>
      <c r="AR40" s="17" t="n"/>
      <c r="AT40">
        <f>IF($B40="","",IF($B40="",1,0)+IF($C40="",1,0)+IF($D40="",1,0)+IF($E40="",1,0)+IF($G40="",1,0)+IF($H40="",1,0)+IF($I40="",1,0)+IF($L40="",1,0)+IF($M40="",1,0)+IF($N40="",1,0)+IF($Q40="",1,0)+IF($S40="",1,0)+IF($AA40="",1,0)+IF($AC40="",1,0)+IF($AG40="",1,0)+IF($AH40="",1,0)+IF($AI40="",1,0)+IF($AL40="",1,0)+IF($AP40="",1,0)+IF($AQ40="",1,0)+IF(AND($I40="あり",$J40=""),1,0)+IF(AND($I40="あり",$K40=""),1,0)+IF(AND($AA40="",$AB40=""),1,0)+IF(AND($AC40="あり",$AD40=""),1,0)+IF(AND($AC40="あり",OR($AD40="",$AD40="後日提出"),$AE40=""),1,0)+IF($AV40="",1,0)+IF(AND($AL40="外国",$AM40=""),1,0)+IF(AND($AL40="外国",$AN40=""),1,0)+IF(AND($AL40="外国",$AO40=""),1,0))</f>
        <v/>
      </c>
      <c r="AU40">
        <f>IF($B40="","",IF(AND($AA40&lt;&gt;"",$AA40&lt;&gt;"後日提出",$AA40&lt;&gt;"別経路提出",LEN($AA40)&lt;&gt;12),1,0)+IF(AND($AB40&lt;&gt;"",$AB40&lt;&gt;"後日提出",LEN($AB40)&lt;&gt;10),1,0)+IF(AND($AD40&lt;&gt;"",$AD40&lt;&gt;"後日提出",LEN($AD40)&lt;&gt;11),1,0)+IF(AND($AG40&lt;&gt;"",LEN(SUBSTITUTE($AG40,"-",""))&lt;&gt;7),1,0))</f>
        <v/>
      </c>
      <c r="AV40" s="17" t="n"/>
      <c r="AW40" s="59" t="n"/>
      <c r="AX40" s="17" t="n"/>
      <c r="AY40" s="17" t="n"/>
    </row>
    <row r="41">
      <c r="A41" s="23">
        <f>IF($B41="","",ROW()-8)</f>
        <v/>
      </c>
      <c r="B41" s="17" t="n"/>
      <c r="C41" s="17" t="n"/>
      <c r="D41" s="17" t="n"/>
      <c r="E41" s="67" t="n"/>
      <c r="F41" s="58">
        <f>IF(OR($E41="",$E41&gt;80000),"",DATEDIF($E41,IF(OR($G41="",$G41&gt;80000),TODAY(),$G41),"Y"))</f>
        <v/>
      </c>
      <c r="G41" s="67" t="n"/>
      <c r="H41" s="17" t="n"/>
      <c r="I41" s="17" t="n"/>
      <c r="J41" s="67" t="n"/>
      <c r="K41" s="17" t="n"/>
      <c r="L41" s="17" t="n"/>
      <c r="M41" s="17" t="n"/>
      <c r="N41" s="17" t="n"/>
      <c r="O41" s="23">
        <f>IF($B41="","",IF($I41="なし","あり",IF($I41&lt;&gt;"あり","",IF($K41="更新の可能性あり","あり",IF(OR($J41="",$G41=""),"なし",IF(OR(NOT(ISNUMBER($G41)),NOT(ISNUMBER($J41)),$G41&gt;80000,$J41&gt;80000),"要確認（日付）",IF($J41&gt;IF(DAY(EDATE($G41,2))&lt;DAY($G41),EOMONTH($G41,2),EDATE($G41,2)-1),"あり","なし"))))))</f>
        <v/>
      </c>
      <c r="P41" s="23">
        <f>IF($B41="","",IF($I41="なし","あり",IF($I41="あり",IF(OR($K41="更新の可能性あり",AND($J41&lt;&gt;"",$G41&lt;&gt;"",$J41-$G41+1&gt;=31)),"あり","なし"),"")))</f>
        <v/>
      </c>
      <c r="Q41" s="17" t="n"/>
      <c r="R41" s="59" t="n"/>
      <c r="S41" s="59" t="n"/>
      <c r="T41" s="59" t="n"/>
      <c r="U41" s="59" t="n"/>
      <c r="V41" s="59" t="n"/>
      <c r="W41" s="79">
        <f>IF($B41="","",SUM($S41,$T41,$U41,$V41))</f>
        <v/>
      </c>
      <c r="X41" s="23">
        <f>IF(OR('⓪ 事業所設定'!$C$9="",'⓪ 事業所設定'!$C$13="",'⓪ 事業所設定'!$C$14="",'⓪ 事業所設定'!$C$17=""),"事業所設定が未入力です",IF($B41="","",IF(AND($L41&gt;='⓪ 事業所設定'!$C$13*0.75,$M41&gt;='⓪ 事業所設定'!$C$14*0.75,$O41="あり"),"加入（一般被保険者）",IF(AND('⓪ 事業所設定'!$C$12="適用あり",$L41&gt;=20,$O41="あり",$N41&lt;&gt;"昼間部の学生",OR('⓪ 事業所設定'!$C$17&gt;=DATE(2026,10,1),($S41+$T41-N($AW41))&gt;=88000)),"加入（短時間労働者）","加入対象外"))))</f>
        <v/>
      </c>
      <c r="Y41" s="23">
        <f>IF($B41="","",TRIM(IF(AND($F41&lt;&gt;"",$F41&gt;=70,ISNUMBER(SEARCH("加入（",$X41))),"厚年対象外（70歳以上被用者該当届） ","")&amp;IF(AND($F41&lt;&gt;"",$F41&gt;=75),"健保対象外（後期高齢者医療） ","")&amp;IF(AND($F41&lt;&gt;"",$F41&gt;=65,$Z41="加入"),"雇保：高年齢被保険者 ","")))</f>
        <v/>
      </c>
      <c r="Z41" s="23">
        <f>IF($B41="","",IF($H41="役員","対象外（兼務役員なら要相談）",IF(AND($L41&gt;=20,$P41="あり",$N41&lt;&gt;"昼間部の学生"),"加入","加入対象外")))</f>
        <v/>
      </c>
      <c r="AA41" s="61" t="n"/>
      <c r="AB41" s="61" t="n"/>
      <c r="AC41" s="17" t="n"/>
      <c r="AD41" s="61" t="n"/>
      <c r="AE41" s="17" t="n"/>
      <c r="AF41" s="17" t="n"/>
      <c r="AG41" s="61" t="n"/>
      <c r="AH41" s="17" t="n"/>
      <c r="AI41" s="17" t="n"/>
      <c r="AJ41" s="17" t="n"/>
      <c r="AK41" s="17" t="n"/>
      <c r="AL41" s="17" t="n"/>
      <c r="AM41" s="17" t="n"/>
      <c r="AN41" s="67" t="n"/>
      <c r="AO41" s="17" t="n"/>
      <c r="AP41" s="17" t="n"/>
      <c r="AQ41" s="17" t="n"/>
      <c r="AR41" s="17" t="n"/>
      <c r="AT41">
        <f>IF($B41="","",IF($B41="",1,0)+IF($C41="",1,0)+IF($D41="",1,0)+IF($E41="",1,0)+IF($G41="",1,0)+IF($H41="",1,0)+IF($I41="",1,0)+IF($L41="",1,0)+IF($M41="",1,0)+IF($N41="",1,0)+IF($Q41="",1,0)+IF($S41="",1,0)+IF($AA41="",1,0)+IF($AC41="",1,0)+IF($AG41="",1,0)+IF($AH41="",1,0)+IF($AI41="",1,0)+IF($AL41="",1,0)+IF($AP41="",1,0)+IF($AQ41="",1,0)+IF(AND($I41="あり",$J41=""),1,0)+IF(AND($I41="あり",$K41=""),1,0)+IF(AND($AA41="",$AB41=""),1,0)+IF(AND($AC41="あり",$AD41=""),1,0)+IF(AND($AC41="あり",OR($AD41="",$AD41="後日提出"),$AE41=""),1,0)+IF($AV41="",1,0)+IF(AND($AL41="外国",$AM41=""),1,0)+IF(AND($AL41="外国",$AN41=""),1,0)+IF(AND($AL41="外国",$AO41=""),1,0))</f>
        <v/>
      </c>
      <c r="AU41">
        <f>IF($B41="","",IF(AND($AA41&lt;&gt;"",$AA41&lt;&gt;"後日提出",$AA41&lt;&gt;"別経路提出",LEN($AA41)&lt;&gt;12),1,0)+IF(AND($AB41&lt;&gt;"",$AB41&lt;&gt;"後日提出",LEN($AB41)&lt;&gt;10),1,0)+IF(AND($AD41&lt;&gt;"",$AD41&lt;&gt;"後日提出",LEN($AD41)&lt;&gt;11),1,0)+IF(AND($AG41&lt;&gt;"",LEN(SUBSTITUTE($AG41,"-",""))&lt;&gt;7),1,0))</f>
        <v/>
      </c>
      <c r="AV41" s="17" t="n"/>
      <c r="AW41" s="59" t="n"/>
      <c r="AX41" s="17" t="n"/>
      <c r="AY41" s="17" t="n"/>
    </row>
    <row r="42">
      <c r="A42" s="23">
        <f>IF($B42="","",ROW()-8)</f>
        <v/>
      </c>
      <c r="B42" s="17" t="n"/>
      <c r="C42" s="17" t="n"/>
      <c r="D42" s="17" t="n"/>
      <c r="E42" s="67" t="n"/>
      <c r="F42" s="58">
        <f>IF(OR($E42="",$E42&gt;80000),"",DATEDIF($E42,IF(OR($G42="",$G42&gt;80000),TODAY(),$G42),"Y"))</f>
        <v/>
      </c>
      <c r="G42" s="67" t="n"/>
      <c r="H42" s="17" t="n"/>
      <c r="I42" s="17" t="n"/>
      <c r="J42" s="67" t="n"/>
      <c r="K42" s="17" t="n"/>
      <c r="L42" s="17" t="n"/>
      <c r="M42" s="17" t="n"/>
      <c r="N42" s="17" t="n"/>
      <c r="O42" s="23">
        <f>IF($B42="","",IF($I42="なし","あり",IF($I42&lt;&gt;"あり","",IF($K42="更新の可能性あり","あり",IF(OR($J42="",$G42=""),"なし",IF(OR(NOT(ISNUMBER($G42)),NOT(ISNUMBER($J42)),$G42&gt;80000,$J42&gt;80000),"要確認（日付）",IF($J42&gt;IF(DAY(EDATE($G42,2))&lt;DAY($G42),EOMONTH($G42,2),EDATE($G42,2)-1),"あり","なし"))))))</f>
        <v/>
      </c>
      <c r="P42" s="23">
        <f>IF($B42="","",IF($I42="なし","あり",IF($I42="あり",IF(OR($K42="更新の可能性あり",AND($J42&lt;&gt;"",$G42&lt;&gt;"",$J42-$G42+1&gt;=31)),"あり","なし"),"")))</f>
        <v/>
      </c>
      <c r="Q42" s="17" t="n"/>
      <c r="R42" s="59" t="n"/>
      <c r="S42" s="59" t="n"/>
      <c r="T42" s="59" t="n"/>
      <c r="U42" s="59" t="n"/>
      <c r="V42" s="59" t="n"/>
      <c r="W42" s="79">
        <f>IF($B42="","",SUM($S42,$T42,$U42,$V42))</f>
        <v/>
      </c>
      <c r="X42" s="23">
        <f>IF(OR('⓪ 事業所設定'!$C$9="",'⓪ 事業所設定'!$C$13="",'⓪ 事業所設定'!$C$14="",'⓪ 事業所設定'!$C$17=""),"事業所設定が未入力です",IF($B42="","",IF(AND($L42&gt;='⓪ 事業所設定'!$C$13*0.75,$M42&gt;='⓪ 事業所設定'!$C$14*0.75,$O42="あり"),"加入（一般被保険者）",IF(AND('⓪ 事業所設定'!$C$12="適用あり",$L42&gt;=20,$O42="あり",$N42&lt;&gt;"昼間部の学生",OR('⓪ 事業所設定'!$C$17&gt;=DATE(2026,10,1),($S42+$T42-N($AW42))&gt;=88000)),"加入（短時間労働者）","加入対象外"))))</f>
        <v/>
      </c>
      <c r="Y42" s="23">
        <f>IF($B42="","",TRIM(IF(AND($F42&lt;&gt;"",$F42&gt;=70,ISNUMBER(SEARCH("加入（",$X42))),"厚年対象外（70歳以上被用者該当届） ","")&amp;IF(AND($F42&lt;&gt;"",$F42&gt;=75),"健保対象外（後期高齢者医療） ","")&amp;IF(AND($F42&lt;&gt;"",$F42&gt;=65,$Z42="加入"),"雇保：高年齢被保険者 ","")))</f>
        <v/>
      </c>
      <c r="Z42" s="23">
        <f>IF($B42="","",IF($H42="役員","対象外（兼務役員なら要相談）",IF(AND($L42&gt;=20,$P42="あり",$N42&lt;&gt;"昼間部の学生"),"加入","加入対象外")))</f>
        <v/>
      </c>
      <c r="AA42" s="61" t="n"/>
      <c r="AB42" s="61" t="n"/>
      <c r="AC42" s="17" t="n"/>
      <c r="AD42" s="61" t="n"/>
      <c r="AE42" s="17" t="n"/>
      <c r="AF42" s="17" t="n"/>
      <c r="AG42" s="61" t="n"/>
      <c r="AH42" s="17" t="n"/>
      <c r="AI42" s="17" t="n"/>
      <c r="AJ42" s="17" t="n"/>
      <c r="AK42" s="17" t="n"/>
      <c r="AL42" s="17" t="n"/>
      <c r="AM42" s="17" t="n"/>
      <c r="AN42" s="67" t="n"/>
      <c r="AO42" s="17" t="n"/>
      <c r="AP42" s="17" t="n"/>
      <c r="AQ42" s="17" t="n"/>
      <c r="AR42" s="17" t="n"/>
      <c r="AT42">
        <f>IF($B42="","",IF($B42="",1,0)+IF($C42="",1,0)+IF($D42="",1,0)+IF($E42="",1,0)+IF($G42="",1,0)+IF($H42="",1,0)+IF($I42="",1,0)+IF($L42="",1,0)+IF($M42="",1,0)+IF($N42="",1,0)+IF($Q42="",1,0)+IF($S42="",1,0)+IF($AA42="",1,0)+IF($AC42="",1,0)+IF($AG42="",1,0)+IF($AH42="",1,0)+IF($AI42="",1,0)+IF($AL42="",1,0)+IF($AP42="",1,0)+IF($AQ42="",1,0)+IF(AND($I42="あり",$J42=""),1,0)+IF(AND($I42="あり",$K42=""),1,0)+IF(AND($AA42="",$AB42=""),1,0)+IF(AND($AC42="あり",$AD42=""),1,0)+IF(AND($AC42="あり",OR($AD42="",$AD42="後日提出"),$AE42=""),1,0)+IF($AV42="",1,0)+IF(AND($AL42="外国",$AM42=""),1,0)+IF(AND($AL42="外国",$AN42=""),1,0)+IF(AND($AL42="外国",$AO42=""),1,0))</f>
        <v/>
      </c>
      <c r="AU42">
        <f>IF($B42="","",IF(AND($AA42&lt;&gt;"",$AA42&lt;&gt;"後日提出",$AA42&lt;&gt;"別経路提出",LEN($AA42)&lt;&gt;12),1,0)+IF(AND($AB42&lt;&gt;"",$AB42&lt;&gt;"後日提出",LEN($AB42)&lt;&gt;10),1,0)+IF(AND($AD42&lt;&gt;"",$AD42&lt;&gt;"後日提出",LEN($AD42)&lt;&gt;11),1,0)+IF(AND($AG42&lt;&gt;"",LEN(SUBSTITUTE($AG42,"-",""))&lt;&gt;7),1,0))</f>
        <v/>
      </c>
      <c r="AV42" s="17" t="n"/>
      <c r="AW42" s="59" t="n"/>
      <c r="AX42" s="17" t="n"/>
      <c r="AY42" s="17" t="n"/>
    </row>
    <row r="43">
      <c r="A43" s="23">
        <f>IF($B43="","",ROW()-8)</f>
        <v/>
      </c>
      <c r="B43" s="17" t="n"/>
      <c r="C43" s="17" t="n"/>
      <c r="D43" s="17" t="n"/>
      <c r="E43" s="67" t="n"/>
      <c r="F43" s="58">
        <f>IF(OR($E43="",$E43&gt;80000),"",DATEDIF($E43,IF(OR($G43="",$G43&gt;80000),TODAY(),$G43),"Y"))</f>
        <v/>
      </c>
      <c r="G43" s="67" t="n"/>
      <c r="H43" s="17" t="n"/>
      <c r="I43" s="17" t="n"/>
      <c r="J43" s="67" t="n"/>
      <c r="K43" s="17" t="n"/>
      <c r="L43" s="17" t="n"/>
      <c r="M43" s="17" t="n"/>
      <c r="N43" s="17" t="n"/>
      <c r="O43" s="23">
        <f>IF($B43="","",IF($I43="なし","あり",IF($I43&lt;&gt;"あり","",IF($K43="更新の可能性あり","あり",IF(OR($J43="",$G43=""),"なし",IF(OR(NOT(ISNUMBER($G43)),NOT(ISNUMBER($J43)),$G43&gt;80000,$J43&gt;80000),"要確認（日付）",IF($J43&gt;IF(DAY(EDATE($G43,2))&lt;DAY($G43),EOMONTH($G43,2),EDATE($G43,2)-1),"あり","なし"))))))</f>
        <v/>
      </c>
      <c r="P43" s="23">
        <f>IF($B43="","",IF($I43="なし","あり",IF($I43="あり",IF(OR($K43="更新の可能性あり",AND($J43&lt;&gt;"",$G43&lt;&gt;"",$J43-$G43+1&gt;=31)),"あり","なし"),"")))</f>
        <v/>
      </c>
      <c r="Q43" s="17" t="n"/>
      <c r="R43" s="59" t="n"/>
      <c r="S43" s="59" t="n"/>
      <c r="T43" s="59" t="n"/>
      <c r="U43" s="59" t="n"/>
      <c r="V43" s="59" t="n"/>
      <c r="W43" s="79">
        <f>IF($B43="","",SUM($S43,$T43,$U43,$V43))</f>
        <v/>
      </c>
      <c r="X43" s="23">
        <f>IF(OR('⓪ 事業所設定'!$C$9="",'⓪ 事業所設定'!$C$13="",'⓪ 事業所設定'!$C$14="",'⓪ 事業所設定'!$C$17=""),"事業所設定が未入力です",IF($B43="","",IF(AND($L43&gt;='⓪ 事業所設定'!$C$13*0.75,$M43&gt;='⓪ 事業所設定'!$C$14*0.75,$O43="あり"),"加入（一般被保険者）",IF(AND('⓪ 事業所設定'!$C$12="適用あり",$L43&gt;=20,$O43="あり",$N43&lt;&gt;"昼間部の学生",OR('⓪ 事業所設定'!$C$17&gt;=DATE(2026,10,1),($S43+$T43-N($AW43))&gt;=88000)),"加入（短時間労働者）","加入対象外"))))</f>
        <v/>
      </c>
      <c r="Y43" s="23">
        <f>IF($B43="","",TRIM(IF(AND($F43&lt;&gt;"",$F43&gt;=70,ISNUMBER(SEARCH("加入（",$X43))),"厚年対象外（70歳以上被用者該当届） ","")&amp;IF(AND($F43&lt;&gt;"",$F43&gt;=75),"健保対象外（後期高齢者医療） ","")&amp;IF(AND($F43&lt;&gt;"",$F43&gt;=65,$Z43="加入"),"雇保：高年齢被保険者 ","")))</f>
        <v/>
      </c>
      <c r="Z43" s="23">
        <f>IF($B43="","",IF($H43="役員","対象外（兼務役員なら要相談）",IF(AND($L43&gt;=20,$P43="あり",$N43&lt;&gt;"昼間部の学生"),"加入","加入対象外")))</f>
        <v/>
      </c>
      <c r="AA43" s="61" t="n"/>
      <c r="AB43" s="61" t="n"/>
      <c r="AC43" s="17" t="n"/>
      <c r="AD43" s="61" t="n"/>
      <c r="AE43" s="17" t="n"/>
      <c r="AF43" s="17" t="n"/>
      <c r="AG43" s="61" t="n"/>
      <c r="AH43" s="17" t="n"/>
      <c r="AI43" s="17" t="n"/>
      <c r="AJ43" s="17" t="n"/>
      <c r="AK43" s="17" t="n"/>
      <c r="AL43" s="17" t="n"/>
      <c r="AM43" s="17" t="n"/>
      <c r="AN43" s="67" t="n"/>
      <c r="AO43" s="17" t="n"/>
      <c r="AP43" s="17" t="n"/>
      <c r="AQ43" s="17" t="n"/>
      <c r="AR43" s="17" t="n"/>
      <c r="AT43">
        <f>IF($B43="","",IF($B43="",1,0)+IF($C43="",1,0)+IF($D43="",1,0)+IF($E43="",1,0)+IF($G43="",1,0)+IF($H43="",1,0)+IF($I43="",1,0)+IF($L43="",1,0)+IF($M43="",1,0)+IF($N43="",1,0)+IF($Q43="",1,0)+IF($S43="",1,0)+IF($AA43="",1,0)+IF($AC43="",1,0)+IF($AG43="",1,0)+IF($AH43="",1,0)+IF($AI43="",1,0)+IF($AL43="",1,0)+IF($AP43="",1,0)+IF($AQ43="",1,0)+IF(AND($I43="あり",$J43=""),1,0)+IF(AND($I43="あり",$K43=""),1,0)+IF(AND($AA43="",$AB43=""),1,0)+IF(AND($AC43="あり",$AD43=""),1,0)+IF(AND($AC43="あり",OR($AD43="",$AD43="後日提出"),$AE43=""),1,0)+IF($AV43="",1,0)+IF(AND($AL43="外国",$AM43=""),1,0)+IF(AND($AL43="外国",$AN43=""),1,0)+IF(AND($AL43="外国",$AO43=""),1,0))</f>
        <v/>
      </c>
      <c r="AU43">
        <f>IF($B43="","",IF(AND($AA43&lt;&gt;"",$AA43&lt;&gt;"後日提出",$AA43&lt;&gt;"別経路提出",LEN($AA43)&lt;&gt;12),1,0)+IF(AND($AB43&lt;&gt;"",$AB43&lt;&gt;"後日提出",LEN($AB43)&lt;&gt;10),1,0)+IF(AND($AD43&lt;&gt;"",$AD43&lt;&gt;"後日提出",LEN($AD43)&lt;&gt;11),1,0)+IF(AND($AG43&lt;&gt;"",LEN(SUBSTITUTE($AG43,"-",""))&lt;&gt;7),1,0))</f>
        <v/>
      </c>
      <c r="AV43" s="17" t="n"/>
      <c r="AW43" s="59" t="n"/>
      <c r="AX43" s="17" t="n"/>
      <c r="AY43" s="17" t="n"/>
    </row>
    <row r="44">
      <c r="A44" s="23">
        <f>IF($B44="","",ROW()-8)</f>
        <v/>
      </c>
      <c r="B44" s="17" t="n"/>
      <c r="C44" s="17" t="n"/>
      <c r="D44" s="17" t="n"/>
      <c r="E44" s="67" t="n"/>
      <c r="F44" s="58">
        <f>IF(OR($E44="",$E44&gt;80000),"",DATEDIF($E44,IF(OR($G44="",$G44&gt;80000),TODAY(),$G44),"Y"))</f>
        <v/>
      </c>
      <c r="G44" s="67" t="n"/>
      <c r="H44" s="17" t="n"/>
      <c r="I44" s="17" t="n"/>
      <c r="J44" s="67" t="n"/>
      <c r="K44" s="17" t="n"/>
      <c r="L44" s="17" t="n"/>
      <c r="M44" s="17" t="n"/>
      <c r="N44" s="17" t="n"/>
      <c r="O44" s="23">
        <f>IF($B44="","",IF($I44="なし","あり",IF($I44&lt;&gt;"あり","",IF($K44="更新の可能性あり","あり",IF(OR($J44="",$G44=""),"なし",IF(OR(NOT(ISNUMBER($G44)),NOT(ISNUMBER($J44)),$G44&gt;80000,$J44&gt;80000),"要確認（日付）",IF($J44&gt;IF(DAY(EDATE($G44,2))&lt;DAY($G44),EOMONTH($G44,2),EDATE($G44,2)-1),"あり","なし"))))))</f>
        <v/>
      </c>
      <c r="P44" s="23">
        <f>IF($B44="","",IF($I44="なし","あり",IF($I44="あり",IF(OR($K44="更新の可能性あり",AND($J44&lt;&gt;"",$G44&lt;&gt;"",$J44-$G44+1&gt;=31)),"あり","なし"),"")))</f>
        <v/>
      </c>
      <c r="Q44" s="17" t="n"/>
      <c r="R44" s="59" t="n"/>
      <c r="S44" s="59" t="n"/>
      <c r="T44" s="59" t="n"/>
      <c r="U44" s="59" t="n"/>
      <c r="V44" s="59" t="n"/>
      <c r="W44" s="79">
        <f>IF($B44="","",SUM($S44,$T44,$U44,$V44))</f>
        <v/>
      </c>
      <c r="X44" s="23">
        <f>IF(OR('⓪ 事業所設定'!$C$9="",'⓪ 事業所設定'!$C$13="",'⓪ 事業所設定'!$C$14="",'⓪ 事業所設定'!$C$17=""),"事業所設定が未入力です",IF($B44="","",IF(AND($L44&gt;='⓪ 事業所設定'!$C$13*0.75,$M44&gt;='⓪ 事業所設定'!$C$14*0.75,$O44="あり"),"加入（一般被保険者）",IF(AND('⓪ 事業所設定'!$C$12="適用あり",$L44&gt;=20,$O44="あり",$N44&lt;&gt;"昼間部の学生",OR('⓪ 事業所設定'!$C$17&gt;=DATE(2026,10,1),($S44+$T44-N($AW44))&gt;=88000)),"加入（短時間労働者）","加入対象外"))))</f>
        <v/>
      </c>
      <c r="Y44" s="23">
        <f>IF($B44="","",TRIM(IF(AND($F44&lt;&gt;"",$F44&gt;=70,ISNUMBER(SEARCH("加入（",$X44))),"厚年対象外（70歳以上被用者該当届） ","")&amp;IF(AND($F44&lt;&gt;"",$F44&gt;=75),"健保対象外（後期高齢者医療） ","")&amp;IF(AND($F44&lt;&gt;"",$F44&gt;=65,$Z44="加入"),"雇保：高年齢被保険者 ","")))</f>
        <v/>
      </c>
      <c r="Z44" s="23">
        <f>IF($B44="","",IF($H44="役員","対象外（兼務役員なら要相談）",IF(AND($L44&gt;=20,$P44="あり",$N44&lt;&gt;"昼間部の学生"),"加入","加入対象外")))</f>
        <v/>
      </c>
      <c r="AA44" s="61" t="n"/>
      <c r="AB44" s="61" t="n"/>
      <c r="AC44" s="17" t="n"/>
      <c r="AD44" s="61" t="n"/>
      <c r="AE44" s="17" t="n"/>
      <c r="AF44" s="17" t="n"/>
      <c r="AG44" s="61" t="n"/>
      <c r="AH44" s="17" t="n"/>
      <c r="AI44" s="17" t="n"/>
      <c r="AJ44" s="17" t="n"/>
      <c r="AK44" s="17" t="n"/>
      <c r="AL44" s="17" t="n"/>
      <c r="AM44" s="17" t="n"/>
      <c r="AN44" s="67" t="n"/>
      <c r="AO44" s="17" t="n"/>
      <c r="AP44" s="17" t="n"/>
      <c r="AQ44" s="17" t="n"/>
      <c r="AR44" s="17" t="n"/>
      <c r="AT44">
        <f>IF($B44="","",IF($B44="",1,0)+IF($C44="",1,0)+IF($D44="",1,0)+IF($E44="",1,0)+IF($G44="",1,0)+IF($H44="",1,0)+IF($I44="",1,0)+IF($L44="",1,0)+IF($M44="",1,0)+IF($N44="",1,0)+IF($Q44="",1,0)+IF($S44="",1,0)+IF($AA44="",1,0)+IF($AC44="",1,0)+IF($AG44="",1,0)+IF($AH44="",1,0)+IF($AI44="",1,0)+IF($AL44="",1,0)+IF($AP44="",1,0)+IF($AQ44="",1,0)+IF(AND($I44="あり",$J44=""),1,0)+IF(AND($I44="あり",$K44=""),1,0)+IF(AND($AA44="",$AB44=""),1,0)+IF(AND($AC44="あり",$AD44=""),1,0)+IF(AND($AC44="あり",OR($AD44="",$AD44="後日提出"),$AE44=""),1,0)+IF($AV44="",1,0)+IF(AND($AL44="外国",$AM44=""),1,0)+IF(AND($AL44="外国",$AN44=""),1,0)+IF(AND($AL44="外国",$AO44=""),1,0))</f>
        <v/>
      </c>
      <c r="AU44">
        <f>IF($B44="","",IF(AND($AA44&lt;&gt;"",$AA44&lt;&gt;"後日提出",$AA44&lt;&gt;"別経路提出",LEN($AA44)&lt;&gt;12),1,0)+IF(AND($AB44&lt;&gt;"",$AB44&lt;&gt;"後日提出",LEN($AB44)&lt;&gt;10),1,0)+IF(AND($AD44&lt;&gt;"",$AD44&lt;&gt;"後日提出",LEN($AD44)&lt;&gt;11),1,0)+IF(AND($AG44&lt;&gt;"",LEN(SUBSTITUTE($AG44,"-",""))&lt;&gt;7),1,0))</f>
        <v/>
      </c>
      <c r="AV44" s="17" t="n"/>
      <c r="AW44" s="59" t="n"/>
      <c r="AX44" s="17" t="n"/>
      <c r="AY44" s="17" t="n"/>
    </row>
    <row r="45">
      <c r="A45" s="23">
        <f>IF($B45="","",ROW()-8)</f>
        <v/>
      </c>
      <c r="B45" s="17" t="n"/>
      <c r="C45" s="17" t="n"/>
      <c r="D45" s="17" t="n"/>
      <c r="E45" s="67" t="n"/>
      <c r="F45" s="58">
        <f>IF(OR($E45="",$E45&gt;80000),"",DATEDIF($E45,IF(OR($G45="",$G45&gt;80000),TODAY(),$G45),"Y"))</f>
        <v/>
      </c>
      <c r="G45" s="67" t="n"/>
      <c r="H45" s="17" t="n"/>
      <c r="I45" s="17" t="n"/>
      <c r="J45" s="67" t="n"/>
      <c r="K45" s="17" t="n"/>
      <c r="L45" s="17" t="n"/>
      <c r="M45" s="17" t="n"/>
      <c r="N45" s="17" t="n"/>
      <c r="O45" s="23">
        <f>IF($B45="","",IF($I45="なし","あり",IF($I45&lt;&gt;"あり","",IF($K45="更新の可能性あり","あり",IF(OR($J45="",$G45=""),"なし",IF(OR(NOT(ISNUMBER($G45)),NOT(ISNUMBER($J45)),$G45&gt;80000,$J45&gt;80000),"要確認（日付）",IF($J45&gt;IF(DAY(EDATE($G45,2))&lt;DAY($G45),EOMONTH($G45,2),EDATE($G45,2)-1),"あり","なし"))))))</f>
        <v/>
      </c>
      <c r="P45" s="23">
        <f>IF($B45="","",IF($I45="なし","あり",IF($I45="あり",IF(OR($K45="更新の可能性あり",AND($J45&lt;&gt;"",$G45&lt;&gt;"",$J45-$G45+1&gt;=31)),"あり","なし"),"")))</f>
        <v/>
      </c>
      <c r="Q45" s="17" t="n"/>
      <c r="R45" s="59" t="n"/>
      <c r="S45" s="59" t="n"/>
      <c r="T45" s="59" t="n"/>
      <c r="U45" s="59" t="n"/>
      <c r="V45" s="59" t="n"/>
      <c r="W45" s="79">
        <f>IF($B45="","",SUM($S45,$T45,$U45,$V45))</f>
        <v/>
      </c>
      <c r="X45" s="23">
        <f>IF(OR('⓪ 事業所設定'!$C$9="",'⓪ 事業所設定'!$C$13="",'⓪ 事業所設定'!$C$14="",'⓪ 事業所設定'!$C$17=""),"事業所設定が未入力です",IF($B45="","",IF(AND($L45&gt;='⓪ 事業所設定'!$C$13*0.75,$M45&gt;='⓪ 事業所設定'!$C$14*0.75,$O45="あり"),"加入（一般被保険者）",IF(AND('⓪ 事業所設定'!$C$12="適用あり",$L45&gt;=20,$O45="あり",$N45&lt;&gt;"昼間部の学生",OR('⓪ 事業所設定'!$C$17&gt;=DATE(2026,10,1),($S45+$T45-N($AW45))&gt;=88000)),"加入（短時間労働者）","加入対象外"))))</f>
        <v/>
      </c>
      <c r="Y45" s="23">
        <f>IF($B45="","",TRIM(IF(AND($F45&lt;&gt;"",$F45&gt;=70,ISNUMBER(SEARCH("加入（",$X45))),"厚年対象外（70歳以上被用者該当届） ","")&amp;IF(AND($F45&lt;&gt;"",$F45&gt;=75),"健保対象外（後期高齢者医療） ","")&amp;IF(AND($F45&lt;&gt;"",$F45&gt;=65,$Z45="加入"),"雇保：高年齢被保険者 ","")))</f>
        <v/>
      </c>
      <c r="Z45" s="23">
        <f>IF($B45="","",IF($H45="役員","対象外（兼務役員なら要相談）",IF(AND($L45&gt;=20,$P45="あり",$N45&lt;&gt;"昼間部の学生"),"加入","加入対象外")))</f>
        <v/>
      </c>
      <c r="AA45" s="61" t="n"/>
      <c r="AB45" s="61" t="n"/>
      <c r="AC45" s="17" t="n"/>
      <c r="AD45" s="61" t="n"/>
      <c r="AE45" s="17" t="n"/>
      <c r="AF45" s="17" t="n"/>
      <c r="AG45" s="61" t="n"/>
      <c r="AH45" s="17" t="n"/>
      <c r="AI45" s="17" t="n"/>
      <c r="AJ45" s="17" t="n"/>
      <c r="AK45" s="17" t="n"/>
      <c r="AL45" s="17" t="n"/>
      <c r="AM45" s="17" t="n"/>
      <c r="AN45" s="67" t="n"/>
      <c r="AO45" s="17" t="n"/>
      <c r="AP45" s="17" t="n"/>
      <c r="AQ45" s="17" t="n"/>
      <c r="AR45" s="17" t="n"/>
      <c r="AT45">
        <f>IF($B45="","",IF($B45="",1,0)+IF($C45="",1,0)+IF($D45="",1,0)+IF($E45="",1,0)+IF($G45="",1,0)+IF($H45="",1,0)+IF($I45="",1,0)+IF($L45="",1,0)+IF($M45="",1,0)+IF($N45="",1,0)+IF($Q45="",1,0)+IF($S45="",1,0)+IF($AA45="",1,0)+IF($AC45="",1,0)+IF($AG45="",1,0)+IF($AH45="",1,0)+IF($AI45="",1,0)+IF($AL45="",1,0)+IF($AP45="",1,0)+IF($AQ45="",1,0)+IF(AND($I45="あり",$J45=""),1,0)+IF(AND($I45="あり",$K45=""),1,0)+IF(AND($AA45="",$AB45=""),1,0)+IF(AND($AC45="あり",$AD45=""),1,0)+IF(AND($AC45="あり",OR($AD45="",$AD45="後日提出"),$AE45=""),1,0)+IF($AV45="",1,0)+IF(AND($AL45="外国",$AM45=""),1,0)+IF(AND($AL45="外国",$AN45=""),1,0)+IF(AND($AL45="外国",$AO45=""),1,0))</f>
        <v/>
      </c>
      <c r="AU45">
        <f>IF($B45="","",IF(AND($AA45&lt;&gt;"",$AA45&lt;&gt;"後日提出",$AA45&lt;&gt;"別経路提出",LEN($AA45)&lt;&gt;12),1,0)+IF(AND($AB45&lt;&gt;"",$AB45&lt;&gt;"後日提出",LEN($AB45)&lt;&gt;10),1,0)+IF(AND($AD45&lt;&gt;"",$AD45&lt;&gt;"後日提出",LEN($AD45)&lt;&gt;11),1,0)+IF(AND($AG45&lt;&gt;"",LEN(SUBSTITUTE($AG45,"-",""))&lt;&gt;7),1,0))</f>
        <v/>
      </c>
      <c r="AV45" s="17" t="n"/>
      <c r="AW45" s="59" t="n"/>
      <c r="AX45" s="17" t="n"/>
      <c r="AY45" s="17" t="n"/>
    </row>
    <row r="46">
      <c r="A46" s="23">
        <f>IF($B46="","",ROW()-8)</f>
        <v/>
      </c>
      <c r="B46" s="17" t="n"/>
      <c r="C46" s="17" t="n"/>
      <c r="D46" s="17" t="n"/>
      <c r="E46" s="67" t="n"/>
      <c r="F46" s="58">
        <f>IF(OR($E46="",$E46&gt;80000),"",DATEDIF($E46,IF(OR($G46="",$G46&gt;80000),TODAY(),$G46),"Y"))</f>
        <v/>
      </c>
      <c r="G46" s="67" t="n"/>
      <c r="H46" s="17" t="n"/>
      <c r="I46" s="17" t="n"/>
      <c r="J46" s="67" t="n"/>
      <c r="K46" s="17" t="n"/>
      <c r="L46" s="17" t="n"/>
      <c r="M46" s="17" t="n"/>
      <c r="N46" s="17" t="n"/>
      <c r="O46" s="23">
        <f>IF($B46="","",IF($I46="なし","あり",IF($I46&lt;&gt;"あり","",IF($K46="更新の可能性あり","あり",IF(OR($J46="",$G46=""),"なし",IF(OR(NOT(ISNUMBER($G46)),NOT(ISNUMBER($J46)),$G46&gt;80000,$J46&gt;80000),"要確認（日付）",IF($J46&gt;IF(DAY(EDATE($G46,2))&lt;DAY($G46),EOMONTH($G46,2),EDATE($G46,2)-1),"あり","なし"))))))</f>
        <v/>
      </c>
      <c r="P46" s="23">
        <f>IF($B46="","",IF($I46="なし","あり",IF($I46="あり",IF(OR($K46="更新の可能性あり",AND($J46&lt;&gt;"",$G46&lt;&gt;"",$J46-$G46+1&gt;=31)),"あり","なし"),"")))</f>
        <v/>
      </c>
      <c r="Q46" s="17" t="n"/>
      <c r="R46" s="59" t="n"/>
      <c r="S46" s="59" t="n"/>
      <c r="T46" s="59" t="n"/>
      <c r="U46" s="59" t="n"/>
      <c r="V46" s="59" t="n"/>
      <c r="W46" s="79">
        <f>IF($B46="","",SUM($S46,$T46,$U46,$V46))</f>
        <v/>
      </c>
      <c r="X46" s="23">
        <f>IF(OR('⓪ 事業所設定'!$C$9="",'⓪ 事業所設定'!$C$13="",'⓪ 事業所設定'!$C$14="",'⓪ 事業所設定'!$C$17=""),"事業所設定が未入力です",IF($B46="","",IF(AND($L46&gt;='⓪ 事業所設定'!$C$13*0.75,$M46&gt;='⓪ 事業所設定'!$C$14*0.75,$O46="あり"),"加入（一般被保険者）",IF(AND('⓪ 事業所設定'!$C$12="適用あり",$L46&gt;=20,$O46="あり",$N46&lt;&gt;"昼間部の学生",OR('⓪ 事業所設定'!$C$17&gt;=DATE(2026,10,1),($S46+$T46-N($AW46))&gt;=88000)),"加入（短時間労働者）","加入対象外"))))</f>
        <v/>
      </c>
      <c r="Y46" s="23">
        <f>IF($B46="","",TRIM(IF(AND($F46&lt;&gt;"",$F46&gt;=70,ISNUMBER(SEARCH("加入（",$X46))),"厚年対象外（70歳以上被用者該当届） ","")&amp;IF(AND($F46&lt;&gt;"",$F46&gt;=75),"健保対象外（後期高齢者医療） ","")&amp;IF(AND($F46&lt;&gt;"",$F46&gt;=65,$Z46="加入"),"雇保：高年齢被保険者 ","")))</f>
        <v/>
      </c>
      <c r="Z46" s="23">
        <f>IF($B46="","",IF($H46="役員","対象外（兼務役員なら要相談）",IF(AND($L46&gt;=20,$P46="あり",$N46&lt;&gt;"昼間部の学生"),"加入","加入対象外")))</f>
        <v/>
      </c>
      <c r="AA46" s="61" t="n"/>
      <c r="AB46" s="61" t="n"/>
      <c r="AC46" s="17" t="n"/>
      <c r="AD46" s="61" t="n"/>
      <c r="AE46" s="17" t="n"/>
      <c r="AF46" s="17" t="n"/>
      <c r="AG46" s="61" t="n"/>
      <c r="AH46" s="17" t="n"/>
      <c r="AI46" s="17" t="n"/>
      <c r="AJ46" s="17" t="n"/>
      <c r="AK46" s="17" t="n"/>
      <c r="AL46" s="17" t="n"/>
      <c r="AM46" s="17" t="n"/>
      <c r="AN46" s="67" t="n"/>
      <c r="AO46" s="17" t="n"/>
      <c r="AP46" s="17" t="n"/>
      <c r="AQ46" s="17" t="n"/>
      <c r="AR46" s="17" t="n"/>
      <c r="AT46">
        <f>IF($B46="","",IF($B46="",1,0)+IF($C46="",1,0)+IF($D46="",1,0)+IF($E46="",1,0)+IF($G46="",1,0)+IF($H46="",1,0)+IF($I46="",1,0)+IF($L46="",1,0)+IF($M46="",1,0)+IF($N46="",1,0)+IF($Q46="",1,0)+IF($S46="",1,0)+IF($AA46="",1,0)+IF($AC46="",1,0)+IF($AG46="",1,0)+IF($AH46="",1,0)+IF($AI46="",1,0)+IF($AL46="",1,0)+IF($AP46="",1,0)+IF($AQ46="",1,0)+IF(AND($I46="あり",$J46=""),1,0)+IF(AND($I46="あり",$K46=""),1,0)+IF(AND($AA46="",$AB46=""),1,0)+IF(AND($AC46="あり",$AD46=""),1,0)+IF(AND($AC46="あり",OR($AD46="",$AD46="後日提出"),$AE46=""),1,0)+IF($AV46="",1,0)+IF(AND($AL46="外国",$AM46=""),1,0)+IF(AND($AL46="外国",$AN46=""),1,0)+IF(AND($AL46="外国",$AO46=""),1,0))</f>
        <v/>
      </c>
      <c r="AU46">
        <f>IF($B46="","",IF(AND($AA46&lt;&gt;"",$AA46&lt;&gt;"後日提出",$AA46&lt;&gt;"別経路提出",LEN($AA46)&lt;&gt;12),1,0)+IF(AND($AB46&lt;&gt;"",$AB46&lt;&gt;"後日提出",LEN($AB46)&lt;&gt;10),1,0)+IF(AND($AD46&lt;&gt;"",$AD46&lt;&gt;"後日提出",LEN($AD46)&lt;&gt;11),1,0)+IF(AND($AG46&lt;&gt;"",LEN(SUBSTITUTE($AG46,"-",""))&lt;&gt;7),1,0))</f>
        <v/>
      </c>
      <c r="AV46" s="17" t="n"/>
      <c r="AW46" s="59" t="n"/>
      <c r="AX46" s="17" t="n"/>
      <c r="AY46" s="17" t="n"/>
    </row>
    <row r="47">
      <c r="A47" s="23">
        <f>IF($B47="","",ROW()-8)</f>
        <v/>
      </c>
      <c r="B47" s="17" t="n"/>
      <c r="C47" s="17" t="n"/>
      <c r="D47" s="17" t="n"/>
      <c r="E47" s="67" t="n"/>
      <c r="F47" s="58">
        <f>IF(OR($E47="",$E47&gt;80000),"",DATEDIF($E47,IF(OR($G47="",$G47&gt;80000),TODAY(),$G47),"Y"))</f>
        <v/>
      </c>
      <c r="G47" s="67" t="n"/>
      <c r="H47" s="17" t="n"/>
      <c r="I47" s="17" t="n"/>
      <c r="J47" s="67" t="n"/>
      <c r="K47" s="17" t="n"/>
      <c r="L47" s="17" t="n"/>
      <c r="M47" s="17" t="n"/>
      <c r="N47" s="17" t="n"/>
      <c r="O47" s="23">
        <f>IF($B47="","",IF($I47="なし","あり",IF($I47&lt;&gt;"あり","",IF($K47="更新の可能性あり","あり",IF(OR($J47="",$G47=""),"なし",IF(OR(NOT(ISNUMBER($G47)),NOT(ISNUMBER($J47)),$G47&gt;80000,$J47&gt;80000),"要確認（日付）",IF($J47&gt;IF(DAY(EDATE($G47,2))&lt;DAY($G47),EOMONTH($G47,2),EDATE($G47,2)-1),"あり","なし"))))))</f>
        <v/>
      </c>
      <c r="P47" s="23">
        <f>IF($B47="","",IF($I47="なし","あり",IF($I47="あり",IF(OR($K47="更新の可能性あり",AND($J47&lt;&gt;"",$G47&lt;&gt;"",$J47-$G47+1&gt;=31)),"あり","なし"),"")))</f>
        <v/>
      </c>
      <c r="Q47" s="17" t="n"/>
      <c r="R47" s="59" t="n"/>
      <c r="S47" s="59" t="n"/>
      <c r="T47" s="59" t="n"/>
      <c r="U47" s="59" t="n"/>
      <c r="V47" s="59" t="n"/>
      <c r="W47" s="79">
        <f>IF($B47="","",SUM($S47,$T47,$U47,$V47))</f>
        <v/>
      </c>
      <c r="X47" s="23">
        <f>IF(OR('⓪ 事業所設定'!$C$9="",'⓪ 事業所設定'!$C$13="",'⓪ 事業所設定'!$C$14="",'⓪ 事業所設定'!$C$17=""),"事業所設定が未入力です",IF($B47="","",IF(AND($L47&gt;='⓪ 事業所設定'!$C$13*0.75,$M47&gt;='⓪ 事業所設定'!$C$14*0.75,$O47="あり"),"加入（一般被保険者）",IF(AND('⓪ 事業所設定'!$C$12="適用あり",$L47&gt;=20,$O47="あり",$N47&lt;&gt;"昼間部の学生",OR('⓪ 事業所設定'!$C$17&gt;=DATE(2026,10,1),($S47+$T47-N($AW47))&gt;=88000)),"加入（短時間労働者）","加入対象外"))))</f>
        <v/>
      </c>
      <c r="Y47" s="23">
        <f>IF($B47="","",TRIM(IF(AND($F47&lt;&gt;"",$F47&gt;=70,ISNUMBER(SEARCH("加入（",$X47))),"厚年対象外（70歳以上被用者該当届） ","")&amp;IF(AND($F47&lt;&gt;"",$F47&gt;=75),"健保対象外（後期高齢者医療） ","")&amp;IF(AND($F47&lt;&gt;"",$F47&gt;=65,$Z47="加入"),"雇保：高年齢被保険者 ","")))</f>
        <v/>
      </c>
      <c r="Z47" s="23">
        <f>IF($B47="","",IF($H47="役員","対象外（兼務役員なら要相談）",IF(AND($L47&gt;=20,$P47="あり",$N47&lt;&gt;"昼間部の学生"),"加入","加入対象外")))</f>
        <v/>
      </c>
      <c r="AA47" s="61" t="n"/>
      <c r="AB47" s="61" t="n"/>
      <c r="AC47" s="17" t="n"/>
      <c r="AD47" s="61" t="n"/>
      <c r="AE47" s="17" t="n"/>
      <c r="AF47" s="17" t="n"/>
      <c r="AG47" s="61" t="n"/>
      <c r="AH47" s="17" t="n"/>
      <c r="AI47" s="17" t="n"/>
      <c r="AJ47" s="17" t="n"/>
      <c r="AK47" s="17" t="n"/>
      <c r="AL47" s="17" t="n"/>
      <c r="AM47" s="17" t="n"/>
      <c r="AN47" s="67" t="n"/>
      <c r="AO47" s="17" t="n"/>
      <c r="AP47" s="17" t="n"/>
      <c r="AQ47" s="17" t="n"/>
      <c r="AR47" s="17" t="n"/>
      <c r="AT47">
        <f>IF($B47="","",IF($B47="",1,0)+IF($C47="",1,0)+IF($D47="",1,0)+IF($E47="",1,0)+IF($G47="",1,0)+IF($H47="",1,0)+IF($I47="",1,0)+IF($L47="",1,0)+IF($M47="",1,0)+IF($N47="",1,0)+IF($Q47="",1,0)+IF($S47="",1,0)+IF($AA47="",1,0)+IF($AC47="",1,0)+IF($AG47="",1,0)+IF($AH47="",1,0)+IF($AI47="",1,0)+IF($AL47="",1,0)+IF($AP47="",1,0)+IF($AQ47="",1,0)+IF(AND($I47="あり",$J47=""),1,0)+IF(AND($I47="あり",$K47=""),1,0)+IF(AND($AA47="",$AB47=""),1,0)+IF(AND($AC47="あり",$AD47=""),1,0)+IF(AND($AC47="あり",OR($AD47="",$AD47="後日提出"),$AE47=""),1,0)+IF($AV47="",1,0)+IF(AND($AL47="外国",$AM47=""),1,0)+IF(AND($AL47="外国",$AN47=""),1,0)+IF(AND($AL47="外国",$AO47=""),1,0))</f>
        <v/>
      </c>
      <c r="AU47">
        <f>IF($B47="","",IF(AND($AA47&lt;&gt;"",$AA47&lt;&gt;"後日提出",$AA47&lt;&gt;"別経路提出",LEN($AA47)&lt;&gt;12),1,0)+IF(AND($AB47&lt;&gt;"",$AB47&lt;&gt;"後日提出",LEN($AB47)&lt;&gt;10),1,0)+IF(AND($AD47&lt;&gt;"",$AD47&lt;&gt;"後日提出",LEN($AD47)&lt;&gt;11),1,0)+IF(AND($AG47&lt;&gt;"",LEN(SUBSTITUTE($AG47,"-",""))&lt;&gt;7),1,0))</f>
        <v/>
      </c>
      <c r="AV47" s="17" t="n"/>
      <c r="AW47" s="59" t="n"/>
      <c r="AX47" s="17" t="n"/>
      <c r="AY47" s="17" t="n"/>
    </row>
    <row r="48">
      <c r="A48" s="23">
        <f>IF($B48="","",ROW()-8)</f>
        <v/>
      </c>
      <c r="B48" s="17" t="n"/>
      <c r="C48" s="17" t="n"/>
      <c r="D48" s="17" t="n"/>
      <c r="E48" s="67" t="n"/>
      <c r="F48" s="58">
        <f>IF(OR($E48="",$E48&gt;80000),"",DATEDIF($E48,IF(OR($G48="",$G48&gt;80000),TODAY(),$G48),"Y"))</f>
        <v/>
      </c>
      <c r="G48" s="67" t="n"/>
      <c r="H48" s="17" t="n"/>
      <c r="I48" s="17" t="n"/>
      <c r="J48" s="67" t="n"/>
      <c r="K48" s="17" t="n"/>
      <c r="L48" s="17" t="n"/>
      <c r="M48" s="17" t="n"/>
      <c r="N48" s="17" t="n"/>
      <c r="O48" s="23">
        <f>IF($B48="","",IF($I48="なし","あり",IF($I48&lt;&gt;"あり","",IF($K48="更新の可能性あり","あり",IF(OR($J48="",$G48=""),"なし",IF(OR(NOT(ISNUMBER($G48)),NOT(ISNUMBER($J48)),$G48&gt;80000,$J48&gt;80000),"要確認（日付）",IF($J48&gt;IF(DAY(EDATE($G48,2))&lt;DAY($G48),EOMONTH($G48,2),EDATE($G48,2)-1),"あり","なし"))))))</f>
        <v/>
      </c>
      <c r="P48" s="23">
        <f>IF($B48="","",IF($I48="なし","あり",IF($I48="あり",IF(OR($K48="更新の可能性あり",AND($J48&lt;&gt;"",$G48&lt;&gt;"",$J48-$G48+1&gt;=31)),"あり","なし"),"")))</f>
        <v/>
      </c>
      <c r="Q48" s="17" t="n"/>
      <c r="R48" s="59" t="n"/>
      <c r="S48" s="59" t="n"/>
      <c r="T48" s="59" t="n"/>
      <c r="U48" s="59" t="n"/>
      <c r="V48" s="59" t="n"/>
      <c r="W48" s="79">
        <f>IF($B48="","",SUM($S48,$T48,$U48,$V48))</f>
        <v/>
      </c>
      <c r="X48" s="23">
        <f>IF(OR('⓪ 事業所設定'!$C$9="",'⓪ 事業所設定'!$C$13="",'⓪ 事業所設定'!$C$14="",'⓪ 事業所設定'!$C$17=""),"事業所設定が未入力です",IF($B48="","",IF(AND($L48&gt;='⓪ 事業所設定'!$C$13*0.75,$M48&gt;='⓪ 事業所設定'!$C$14*0.75,$O48="あり"),"加入（一般被保険者）",IF(AND('⓪ 事業所設定'!$C$12="適用あり",$L48&gt;=20,$O48="あり",$N48&lt;&gt;"昼間部の学生",OR('⓪ 事業所設定'!$C$17&gt;=DATE(2026,10,1),($S48+$T48-N($AW48))&gt;=88000)),"加入（短時間労働者）","加入対象外"))))</f>
        <v/>
      </c>
      <c r="Y48" s="23">
        <f>IF($B48="","",TRIM(IF(AND($F48&lt;&gt;"",$F48&gt;=70,ISNUMBER(SEARCH("加入（",$X48))),"厚年対象外（70歳以上被用者該当届） ","")&amp;IF(AND($F48&lt;&gt;"",$F48&gt;=75),"健保対象外（後期高齢者医療） ","")&amp;IF(AND($F48&lt;&gt;"",$F48&gt;=65,$Z48="加入"),"雇保：高年齢被保険者 ","")))</f>
        <v/>
      </c>
      <c r="Z48" s="23">
        <f>IF($B48="","",IF($H48="役員","対象外（兼務役員なら要相談）",IF(AND($L48&gt;=20,$P48="あり",$N48&lt;&gt;"昼間部の学生"),"加入","加入対象外")))</f>
        <v/>
      </c>
      <c r="AA48" s="61" t="n"/>
      <c r="AB48" s="61" t="n"/>
      <c r="AC48" s="17" t="n"/>
      <c r="AD48" s="61" t="n"/>
      <c r="AE48" s="17" t="n"/>
      <c r="AF48" s="17" t="n"/>
      <c r="AG48" s="61" t="n"/>
      <c r="AH48" s="17" t="n"/>
      <c r="AI48" s="17" t="n"/>
      <c r="AJ48" s="17" t="n"/>
      <c r="AK48" s="17" t="n"/>
      <c r="AL48" s="17" t="n"/>
      <c r="AM48" s="17" t="n"/>
      <c r="AN48" s="67" t="n"/>
      <c r="AO48" s="17" t="n"/>
      <c r="AP48" s="17" t="n"/>
      <c r="AQ48" s="17" t="n"/>
      <c r="AR48" s="17" t="n"/>
      <c r="AT48">
        <f>IF($B48="","",IF($B48="",1,0)+IF($C48="",1,0)+IF($D48="",1,0)+IF($E48="",1,0)+IF($G48="",1,0)+IF($H48="",1,0)+IF($I48="",1,0)+IF($L48="",1,0)+IF($M48="",1,0)+IF($N48="",1,0)+IF($Q48="",1,0)+IF($S48="",1,0)+IF($AA48="",1,0)+IF($AC48="",1,0)+IF($AG48="",1,0)+IF($AH48="",1,0)+IF($AI48="",1,0)+IF($AL48="",1,0)+IF($AP48="",1,0)+IF($AQ48="",1,0)+IF(AND($I48="あり",$J48=""),1,0)+IF(AND($I48="あり",$K48=""),1,0)+IF(AND($AA48="",$AB48=""),1,0)+IF(AND($AC48="あり",$AD48=""),1,0)+IF(AND($AC48="あり",OR($AD48="",$AD48="後日提出"),$AE48=""),1,0)+IF($AV48="",1,0)+IF(AND($AL48="外国",$AM48=""),1,0)+IF(AND($AL48="外国",$AN48=""),1,0)+IF(AND($AL48="外国",$AO48=""),1,0))</f>
        <v/>
      </c>
      <c r="AU48">
        <f>IF($B48="","",IF(AND($AA48&lt;&gt;"",$AA48&lt;&gt;"後日提出",$AA48&lt;&gt;"別経路提出",LEN($AA48)&lt;&gt;12),1,0)+IF(AND($AB48&lt;&gt;"",$AB48&lt;&gt;"後日提出",LEN($AB48)&lt;&gt;10),1,0)+IF(AND($AD48&lt;&gt;"",$AD48&lt;&gt;"後日提出",LEN($AD48)&lt;&gt;11),1,0)+IF(AND($AG48&lt;&gt;"",LEN(SUBSTITUTE($AG48,"-",""))&lt;&gt;7),1,0))</f>
        <v/>
      </c>
      <c r="AV48" s="17" t="n"/>
      <c r="AW48" s="59" t="n"/>
      <c r="AX48" s="17" t="n"/>
      <c r="AY48" s="17" t="n"/>
    </row>
    <row r="49">
      <c r="A49" s="23">
        <f>IF($B49="","",ROW()-8)</f>
        <v/>
      </c>
      <c r="B49" s="17" t="n"/>
      <c r="C49" s="17" t="n"/>
      <c r="D49" s="17" t="n"/>
      <c r="E49" s="67" t="n"/>
      <c r="F49" s="58">
        <f>IF(OR($E49="",$E49&gt;80000),"",DATEDIF($E49,IF(OR($G49="",$G49&gt;80000),TODAY(),$G49),"Y"))</f>
        <v/>
      </c>
      <c r="G49" s="67" t="n"/>
      <c r="H49" s="17" t="n"/>
      <c r="I49" s="17" t="n"/>
      <c r="J49" s="67" t="n"/>
      <c r="K49" s="17" t="n"/>
      <c r="L49" s="17" t="n"/>
      <c r="M49" s="17" t="n"/>
      <c r="N49" s="17" t="n"/>
      <c r="O49" s="23">
        <f>IF($B49="","",IF($I49="なし","あり",IF($I49&lt;&gt;"あり","",IF($K49="更新の可能性あり","あり",IF(OR($J49="",$G49=""),"なし",IF(OR(NOT(ISNUMBER($G49)),NOT(ISNUMBER($J49)),$G49&gt;80000,$J49&gt;80000),"要確認（日付）",IF($J49&gt;IF(DAY(EDATE($G49,2))&lt;DAY($G49),EOMONTH($G49,2),EDATE($G49,2)-1),"あり","なし"))))))</f>
        <v/>
      </c>
      <c r="P49" s="23">
        <f>IF($B49="","",IF($I49="なし","あり",IF($I49="あり",IF(OR($K49="更新の可能性あり",AND($J49&lt;&gt;"",$G49&lt;&gt;"",$J49-$G49+1&gt;=31)),"あり","なし"),"")))</f>
        <v/>
      </c>
      <c r="Q49" s="17" t="n"/>
      <c r="R49" s="59" t="n"/>
      <c r="S49" s="59" t="n"/>
      <c r="T49" s="59" t="n"/>
      <c r="U49" s="59" t="n"/>
      <c r="V49" s="59" t="n"/>
      <c r="W49" s="79">
        <f>IF($B49="","",SUM($S49,$T49,$U49,$V49))</f>
        <v/>
      </c>
      <c r="X49" s="23">
        <f>IF(OR('⓪ 事業所設定'!$C$9="",'⓪ 事業所設定'!$C$13="",'⓪ 事業所設定'!$C$14="",'⓪ 事業所設定'!$C$17=""),"事業所設定が未入力です",IF($B49="","",IF(AND($L49&gt;='⓪ 事業所設定'!$C$13*0.75,$M49&gt;='⓪ 事業所設定'!$C$14*0.75,$O49="あり"),"加入（一般被保険者）",IF(AND('⓪ 事業所設定'!$C$12="適用あり",$L49&gt;=20,$O49="あり",$N49&lt;&gt;"昼間部の学生",OR('⓪ 事業所設定'!$C$17&gt;=DATE(2026,10,1),($S49+$T49-N($AW49))&gt;=88000)),"加入（短時間労働者）","加入対象外"))))</f>
        <v/>
      </c>
      <c r="Y49" s="23">
        <f>IF($B49="","",TRIM(IF(AND($F49&lt;&gt;"",$F49&gt;=70,ISNUMBER(SEARCH("加入（",$X49))),"厚年対象外（70歳以上被用者該当届） ","")&amp;IF(AND($F49&lt;&gt;"",$F49&gt;=75),"健保対象外（後期高齢者医療） ","")&amp;IF(AND($F49&lt;&gt;"",$F49&gt;=65,$Z49="加入"),"雇保：高年齢被保険者 ","")))</f>
        <v/>
      </c>
      <c r="Z49" s="23">
        <f>IF($B49="","",IF($H49="役員","対象外（兼務役員なら要相談）",IF(AND($L49&gt;=20,$P49="あり",$N49&lt;&gt;"昼間部の学生"),"加入","加入対象外")))</f>
        <v/>
      </c>
      <c r="AA49" s="61" t="n"/>
      <c r="AB49" s="61" t="n"/>
      <c r="AC49" s="17" t="n"/>
      <c r="AD49" s="61" t="n"/>
      <c r="AE49" s="17" t="n"/>
      <c r="AF49" s="17" t="n"/>
      <c r="AG49" s="61" t="n"/>
      <c r="AH49" s="17" t="n"/>
      <c r="AI49" s="17" t="n"/>
      <c r="AJ49" s="17" t="n"/>
      <c r="AK49" s="17" t="n"/>
      <c r="AL49" s="17" t="n"/>
      <c r="AM49" s="17" t="n"/>
      <c r="AN49" s="67" t="n"/>
      <c r="AO49" s="17" t="n"/>
      <c r="AP49" s="17" t="n"/>
      <c r="AQ49" s="17" t="n"/>
      <c r="AR49" s="17" t="n"/>
      <c r="AT49">
        <f>IF($B49="","",IF($B49="",1,0)+IF($C49="",1,0)+IF($D49="",1,0)+IF($E49="",1,0)+IF($G49="",1,0)+IF($H49="",1,0)+IF($I49="",1,0)+IF($L49="",1,0)+IF($M49="",1,0)+IF($N49="",1,0)+IF($Q49="",1,0)+IF($S49="",1,0)+IF($AA49="",1,0)+IF($AC49="",1,0)+IF($AG49="",1,0)+IF($AH49="",1,0)+IF($AI49="",1,0)+IF($AL49="",1,0)+IF($AP49="",1,0)+IF($AQ49="",1,0)+IF(AND($I49="あり",$J49=""),1,0)+IF(AND($I49="あり",$K49=""),1,0)+IF(AND($AA49="",$AB49=""),1,0)+IF(AND($AC49="あり",$AD49=""),1,0)+IF(AND($AC49="あり",OR($AD49="",$AD49="後日提出"),$AE49=""),1,0)+IF($AV49="",1,0)+IF(AND($AL49="外国",$AM49=""),1,0)+IF(AND($AL49="外国",$AN49=""),1,0)+IF(AND($AL49="外国",$AO49=""),1,0))</f>
        <v/>
      </c>
      <c r="AU49">
        <f>IF($B49="","",IF(AND($AA49&lt;&gt;"",$AA49&lt;&gt;"後日提出",$AA49&lt;&gt;"別経路提出",LEN($AA49)&lt;&gt;12),1,0)+IF(AND($AB49&lt;&gt;"",$AB49&lt;&gt;"後日提出",LEN($AB49)&lt;&gt;10),1,0)+IF(AND($AD49&lt;&gt;"",$AD49&lt;&gt;"後日提出",LEN($AD49)&lt;&gt;11),1,0)+IF(AND($AG49&lt;&gt;"",LEN(SUBSTITUTE($AG49,"-",""))&lt;&gt;7),1,0))</f>
        <v/>
      </c>
      <c r="AV49" s="17" t="n"/>
      <c r="AW49" s="59" t="n"/>
      <c r="AX49" s="17" t="n"/>
      <c r="AY49" s="17" t="n"/>
    </row>
    <row r="50">
      <c r="A50" s="23">
        <f>IF($B50="","",ROW()-8)</f>
        <v/>
      </c>
      <c r="B50" s="17" t="n"/>
      <c r="C50" s="17" t="n"/>
      <c r="D50" s="17" t="n"/>
      <c r="E50" s="67" t="n"/>
      <c r="F50" s="58">
        <f>IF(OR($E50="",$E50&gt;80000),"",DATEDIF($E50,IF(OR($G50="",$G50&gt;80000),TODAY(),$G50),"Y"))</f>
        <v/>
      </c>
      <c r="G50" s="67" t="n"/>
      <c r="H50" s="17" t="n"/>
      <c r="I50" s="17" t="n"/>
      <c r="J50" s="67" t="n"/>
      <c r="K50" s="17" t="n"/>
      <c r="L50" s="17" t="n"/>
      <c r="M50" s="17" t="n"/>
      <c r="N50" s="17" t="n"/>
      <c r="O50" s="23">
        <f>IF($B50="","",IF($I50="なし","あり",IF($I50&lt;&gt;"あり","",IF($K50="更新の可能性あり","あり",IF(OR($J50="",$G50=""),"なし",IF(OR(NOT(ISNUMBER($G50)),NOT(ISNUMBER($J50)),$G50&gt;80000,$J50&gt;80000),"要確認（日付）",IF($J50&gt;IF(DAY(EDATE($G50,2))&lt;DAY($G50),EOMONTH($G50,2),EDATE($G50,2)-1),"あり","なし"))))))</f>
        <v/>
      </c>
      <c r="P50" s="23">
        <f>IF($B50="","",IF($I50="なし","あり",IF($I50="あり",IF(OR($K50="更新の可能性あり",AND($J50&lt;&gt;"",$G50&lt;&gt;"",$J50-$G50+1&gt;=31)),"あり","なし"),"")))</f>
        <v/>
      </c>
      <c r="Q50" s="17" t="n"/>
      <c r="R50" s="59" t="n"/>
      <c r="S50" s="59" t="n"/>
      <c r="T50" s="59" t="n"/>
      <c r="U50" s="59" t="n"/>
      <c r="V50" s="59" t="n"/>
      <c r="W50" s="79">
        <f>IF($B50="","",SUM($S50,$T50,$U50,$V50))</f>
        <v/>
      </c>
      <c r="X50" s="23">
        <f>IF(OR('⓪ 事業所設定'!$C$9="",'⓪ 事業所設定'!$C$13="",'⓪ 事業所設定'!$C$14="",'⓪ 事業所設定'!$C$17=""),"事業所設定が未入力です",IF($B50="","",IF(AND($L50&gt;='⓪ 事業所設定'!$C$13*0.75,$M50&gt;='⓪ 事業所設定'!$C$14*0.75,$O50="あり"),"加入（一般被保険者）",IF(AND('⓪ 事業所設定'!$C$12="適用あり",$L50&gt;=20,$O50="あり",$N50&lt;&gt;"昼間部の学生",OR('⓪ 事業所設定'!$C$17&gt;=DATE(2026,10,1),($S50+$T50-N($AW50))&gt;=88000)),"加入（短時間労働者）","加入対象外"))))</f>
        <v/>
      </c>
      <c r="Y50" s="23">
        <f>IF($B50="","",TRIM(IF(AND($F50&lt;&gt;"",$F50&gt;=70,ISNUMBER(SEARCH("加入（",$X50))),"厚年対象外（70歳以上被用者該当届） ","")&amp;IF(AND($F50&lt;&gt;"",$F50&gt;=75),"健保対象外（後期高齢者医療） ","")&amp;IF(AND($F50&lt;&gt;"",$F50&gt;=65,$Z50="加入"),"雇保：高年齢被保険者 ","")))</f>
        <v/>
      </c>
      <c r="Z50" s="23">
        <f>IF($B50="","",IF($H50="役員","対象外（兼務役員なら要相談）",IF(AND($L50&gt;=20,$P50="あり",$N50&lt;&gt;"昼間部の学生"),"加入","加入対象外")))</f>
        <v/>
      </c>
      <c r="AA50" s="61" t="n"/>
      <c r="AB50" s="61" t="n"/>
      <c r="AC50" s="17" t="n"/>
      <c r="AD50" s="61" t="n"/>
      <c r="AE50" s="17" t="n"/>
      <c r="AF50" s="17" t="n"/>
      <c r="AG50" s="61" t="n"/>
      <c r="AH50" s="17" t="n"/>
      <c r="AI50" s="17" t="n"/>
      <c r="AJ50" s="17" t="n"/>
      <c r="AK50" s="17" t="n"/>
      <c r="AL50" s="17" t="n"/>
      <c r="AM50" s="17" t="n"/>
      <c r="AN50" s="67" t="n"/>
      <c r="AO50" s="17" t="n"/>
      <c r="AP50" s="17" t="n"/>
      <c r="AQ50" s="17" t="n"/>
      <c r="AR50" s="17" t="n"/>
      <c r="AT50">
        <f>IF($B50="","",IF($B50="",1,0)+IF($C50="",1,0)+IF($D50="",1,0)+IF($E50="",1,0)+IF($G50="",1,0)+IF($H50="",1,0)+IF($I50="",1,0)+IF($L50="",1,0)+IF($M50="",1,0)+IF($N50="",1,0)+IF($Q50="",1,0)+IF($S50="",1,0)+IF($AA50="",1,0)+IF($AC50="",1,0)+IF($AG50="",1,0)+IF($AH50="",1,0)+IF($AI50="",1,0)+IF($AL50="",1,0)+IF($AP50="",1,0)+IF($AQ50="",1,0)+IF(AND($I50="あり",$J50=""),1,0)+IF(AND($I50="あり",$K50=""),1,0)+IF(AND($AA50="",$AB50=""),1,0)+IF(AND($AC50="あり",$AD50=""),1,0)+IF(AND($AC50="あり",OR($AD50="",$AD50="後日提出"),$AE50=""),1,0)+IF($AV50="",1,0)+IF(AND($AL50="外国",$AM50=""),1,0)+IF(AND($AL50="外国",$AN50=""),1,0)+IF(AND($AL50="外国",$AO50=""),1,0))</f>
        <v/>
      </c>
      <c r="AU50">
        <f>IF($B50="","",IF(AND($AA50&lt;&gt;"",$AA50&lt;&gt;"後日提出",$AA50&lt;&gt;"別経路提出",LEN($AA50)&lt;&gt;12),1,0)+IF(AND($AB50&lt;&gt;"",$AB50&lt;&gt;"後日提出",LEN($AB50)&lt;&gt;10),1,0)+IF(AND($AD50&lt;&gt;"",$AD50&lt;&gt;"後日提出",LEN($AD50)&lt;&gt;11),1,0)+IF(AND($AG50&lt;&gt;"",LEN(SUBSTITUTE($AG50,"-",""))&lt;&gt;7),1,0))</f>
        <v/>
      </c>
      <c r="AV50" s="17" t="n"/>
      <c r="AW50" s="59" t="n"/>
      <c r="AX50" s="17" t="n"/>
      <c r="AY50" s="17" t="n"/>
    </row>
    <row r="51">
      <c r="A51" s="23">
        <f>IF($B51="","",ROW()-8)</f>
        <v/>
      </c>
      <c r="B51" s="17" t="n"/>
      <c r="C51" s="17" t="n"/>
      <c r="D51" s="17" t="n"/>
      <c r="E51" s="67" t="n"/>
      <c r="F51" s="58">
        <f>IF(OR($E51="",$E51&gt;80000),"",DATEDIF($E51,IF(OR($G51="",$G51&gt;80000),TODAY(),$G51),"Y"))</f>
        <v/>
      </c>
      <c r="G51" s="67" t="n"/>
      <c r="H51" s="17" t="n"/>
      <c r="I51" s="17" t="n"/>
      <c r="J51" s="67" t="n"/>
      <c r="K51" s="17" t="n"/>
      <c r="L51" s="17" t="n"/>
      <c r="M51" s="17" t="n"/>
      <c r="N51" s="17" t="n"/>
      <c r="O51" s="23">
        <f>IF($B51="","",IF($I51="なし","あり",IF($I51&lt;&gt;"あり","",IF($K51="更新の可能性あり","あり",IF(OR($J51="",$G51=""),"なし",IF(OR(NOT(ISNUMBER($G51)),NOT(ISNUMBER($J51)),$G51&gt;80000,$J51&gt;80000),"要確認（日付）",IF($J51&gt;IF(DAY(EDATE($G51,2))&lt;DAY($G51),EOMONTH($G51,2),EDATE($G51,2)-1),"あり","なし"))))))</f>
        <v/>
      </c>
      <c r="P51" s="23">
        <f>IF($B51="","",IF($I51="なし","あり",IF($I51="あり",IF(OR($K51="更新の可能性あり",AND($J51&lt;&gt;"",$G51&lt;&gt;"",$J51-$G51+1&gt;=31)),"あり","なし"),"")))</f>
        <v/>
      </c>
      <c r="Q51" s="17" t="n"/>
      <c r="R51" s="59" t="n"/>
      <c r="S51" s="59" t="n"/>
      <c r="T51" s="59" t="n"/>
      <c r="U51" s="59" t="n"/>
      <c r="V51" s="59" t="n"/>
      <c r="W51" s="79">
        <f>IF($B51="","",SUM($S51,$T51,$U51,$V51))</f>
        <v/>
      </c>
      <c r="X51" s="23">
        <f>IF(OR('⓪ 事業所設定'!$C$9="",'⓪ 事業所設定'!$C$13="",'⓪ 事業所設定'!$C$14="",'⓪ 事業所設定'!$C$17=""),"事業所設定が未入力です",IF($B51="","",IF(AND($L51&gt;='⓪ 事業所設定'!$C$13*0.75,$M51&gt;='⓪ 事業所設定'!$C$14*0.75,$O51="あり"),"加入（一般被保険者）",IF(AND('⓪ 事業所設定'!$C$12="適用あり",$L51&gt;=20,$O51="あり",$N51&lt;&gt;"昼間部の学生",OR('⓪ 事業所設定'!$C$17&gt;=DATE(2026,10,1),($S51+$T51-N($AW51))&gt;=88000)),"加入（短時間労働者）","加入対象外"))))</f>
        <v/>
      </c>
      <c r="Y51" s="23">
        <f>IF($B51="","",TRIM(IF(AND($F51&lt;&gt;"",$F51&gt;=70,ISNUMBER(SEARCH("加入（",$X51))),"厚年対象外（70歳以上被用者該当届） ","")&amp;IF(AND($F51&lt;&gt;"",$F51&gt;=75),"健保対象外（後期高齢者医療） ","")&amp;IF(AND($F51&lt;&gt;"",$F51&gt;=65,$Z51="加入"),"雇保：高年齢被保険者 ","")))</f>
        <v/>
      </c>
      <c r="Z51" s="23">
        <f>IF($B51="","",IF($H51="役員","対象外（兼務役員なら要相談）",IF(AND($L51&gt;=20,$P51="あり",$N51&lt;&gt;"昼間部の学生"),"加入","加入対象外")))</f>
        <v/>
      </c>
      <c r="AA51" s="61" t="n"/>
      <c r="AB51" s="61" t="n"/>
      <c r="AC51" s="17" t="n"/>
      <c r="AD51" s="61" t="n"/>
      <c r="AE51" s="17" t="n"/>
      <c r="AF51" s="17" t="n"/>
      <c r="AG51" s="61" t="n"/>
      <c r="AH51" s="17" t="n"/>
      <c r="AI51" s="17" t="n"/>
      <c r="AJ51" s="17" t="n"/>
      <c r="AK51" s="17" t="n"/>
      <c r="AL51" s="17" t="n"/>
      <c r="AM51" s="17" t="n"/>
      <c r="AN51" s="67" t="n"/>
      <c r="AO51" s="17" t="n"/>
      <c r="AP51" s="17" t="n"/>
      <c r="AQ51" s="17" t="n"/>
      <c r="AR51" s="17" t="n"/>
      <c r="AT51">
        <f>IF($B51="","",IF($B51="",1,0)+IF($C51="",1,0)+IF($D51="",1,0)+IF($E51="",1,0)+IF($G51="",1,0)+IF($H51="",1,0)+IF($I51="",1,0)+IF($L51="",1,0)+IF($M51="",1,0)+IF($N51="",1,0)+IF($Q51="",1,0)+IF($S51="",1,0)+IF($AA51="",1,0)+IF($AC51="",1,0)+IF($AG51="",1,0)+IF($AH51="",1,0)+IF($AI51="",1,0)+IF($AL51="",1,0)+IF($AP51="",1,0)+IF($AQ51="",1,0)+IF(AND($I51="あり",$J51=""),1,0)+IF(AND($I51="あり",$K51=""),1,0)+IF(AND($AA51="",$AB51=""),1,0)+IF(AND($AC51="あり",$AD51=""),1,0)+IF(AND($AC51="あり",OR($AD51="",$AD51="後日提出"),$AE51=""),1,0)+IF($AV51="",1,0)+IF(AND($AL51="外国",$AM51=""),1,0)+IF(AND($AL51="外国",$AN51=""),1,0)+IF(AND($AL51="外国",$AO51=""),1,0))</f>
        <v/>
      </c>
      <c r="AU51">
        <f>IF($B51="","",IF(AND($AA51&lt;&gt;"",$AA51&lt;&gt;"後日提出",$AA51&lt;&gt;"別経路提出",LEN($AA51)&lt;&gt;12),1,0)+IF(AND($AB51&lt;&gt;"",$AB51&lt;&gt;"後日提出",LEN($AB51)&lt;&gt;10),1,0)+IF(AND($AD51&lt;&gt;"",$AD51&lt;&gt;"後日提出",LEN($AD51)&lt;&gt;11),1,0)+IF(AND($AG51&lt;&gt;"",LEN(SUBSTITUTE($AG51,"-",""))&lt;&gt;7),1,0))</f>
        <v/>
      </c>
      <c r="AV51" s="17" t="n"/>
      <c r="AW51" s="59" t="n"/>
      <c r="AX51" s="17" t="n"/>
      <c r="AY51" s="17" t="n"/>
    </row>
    <row r="52">
      <c r="A52" s="23">
        <f>IF($B52="","",ROW()-8)</f>
        <v/>
      </c>
      <c r="B52" s="17" t="n"/>
      <c r="C52" s="17" t="n"/>
      <c r="D52" s="17" t="n"/>
      <c r="E52" s="67" t="n"/>
      <c r="F52" s="58">
        <f>IF(OR($E52="",$E52&gt;80000),"",DATEDIF($E52,IF(OR($G52="",$G52&gt;80000),TODAY(),$G52),"Y"))</f>
        <v/>
      </c>
      <c r="G52" s="67" t="n"/>
      <c r="H52" s="17" t="n"/>
      <c r="I52" s="17" t="n"/>
      <c r="J52" s="67" t="n"/>
      <c r="K52" s="17" t="n"/>
      <c r="L52" s="17" t="n"/>
      <c r="M52" s="17" t="n"/>
      <c r="N52" s="17" t="n"/>
      <c r="O52" s="23">
        <f>IF($B52="","",IF($I52="なし","あり",IF($I52&lt;&gt;"あり","",IF($K52="更新の可能性あり","あり",IF(OR($J52="",$G52=""),"なし",IF(OR(NOT(ISNUMBER($G52)),NOT(ISNUMBER($J52)),$G52&gt;80000,$J52&gt;80000),"要確認（日付）",IF($J52&gt;IF(DAY(EDATE($G52,2))&lt;DAY($G52),EOMONTH($G52,2),EDATE($G52,2)-1),"あり","なし"))))))</f>
        <v/>
      </c>
      <c r="P52" s="23">
        <f>IF($B52="","",IF($I52="なし","あり",IF($I52="あり",IF(OR($K52="更新の可能性あり",AND($J52&lt;&gt;"",$G52&lt;&gt;"",$J52-$G52+1&gt;=31)),"あり","なし"),"")))</f>
        <v/>
      </c>
      <c r="Q52" s="17" t="n"/>
      <c r="R52" s="59" t="n"/>
      <c r="S52" s="59" t="n"/>
      <c r="T52" s="59" t="n"/>
      <c r="U52" s="59" t="n"/>
      <c r="V52" s="59" t="n"/>
      <c r="W52" s="79">
        <f>IF($B52="","",SUM($S52,$T52,$U52,$V52))</f>
        <v/>
      </c>
      <c r="X52" s="23">
        <f>IF(OR('⓪ 事業所設定'!$C$9="",'⓪ 事業所設定'!$C$13="",'⓪ 事業所設定'!$C$14="",'⓪ 事業所設定'!$C$17=""),"事業所設定が未入力です",IF($B52="","",IF(AND($L52&gt;='⓪ 事業所設定'!$C$13*0.75,$M52&gt;='⓪ 事業所設定'!$C$14*0.75,$O52="あり"),"加入（一般被保険者）",IF(AND('⓪ 事業所設定'!$C$12="適用あり",$L52&gt;=20,$O52="あり",$N52&lt;&gt;"昼間部の学生",OR('⓪ 事業所設定'!$C$17&gt;=DATE(2026,10,1),($S52+$T52-N($AW52))&gt;=88000)),"加入（短時間労働者）","加入対象外"))))</f>
        <v/>
      </c>
      <c r="Y52" s="23">
        <f>IF($B52="","",TRIM(IF(AND($F52&lt;&gt;"",$F52&gt;=70,ISNUMBER(SEARCH("加入（",$X52))),"厚年対象外（70歳以上被用者該当届） ","")&amp;IF(AND($F52&lt;&gt;"",$F52&gt;=75),"健保対象外（後期高齢者医療） ","")&amp;IF(AND($F52&lt;&gt;"",$F52&gt;=65,$Z52="加入"),"雇保：高年齢被保険者 ","")))</f>
        <v/>
      </c>
      <c r="Z52" s="23">
        <f>IF($B52="","",IF($H52="役員","対象外（兼務役員なら要相談）",IF(AND($L52&gt;=20,$P52="あり",$N52&lt;&gt;"昼間部の学生"),"加入","加入対象外")))</f>
        <v/>
      </c>
      <c r="AA52" s="61" t="n"/>
      <c r="AB52" s="61" t="n"/>
      <c r="AC52" s="17" t="n"/>
      <c r="AD52" s="61" t="n"/>
      <c r="AE52" s="17" t="n"/>
      <c r="AF52" s="17" t="n"/>
      <c r="AG52" s="61" t="n"/>
      <c r="AH52" s="17" t="n"/>
      <c r="AI52" s="17" t="n"/>
      <c r="AJ52" s="17" t="n"/>
      <c r="AK52" s="17" t="n"/>
      <c r="AL52" s="17" t="n"/>
      <c r="AM52" s="17" t="n"/>
      <c r="AN52" s="67" t="n"/>
      <c r="AO52" s="17" t="n"/>
      <c r="AP52" s="17" t="n"/>
      <c r="AQ52" s="17" t="n"/>
      <c r="AR52" s="17" t="n"/>
      <c r="AT52">
        <f>IF($B52="","",IF($B52="",1,0)+IF($C52="",1,0)+IF($D52="",1,0)+IF($E52="",1,0)+IF($G52="",1,0)+IF($H52="",1,0)+IF($I52="",1,0)+IF($L52="",1,0)+IF($M52="",1,0)+IF($N52="",1,0)+IF($Q52="",1,0)+IF($S52="",1,0)+IF($AA52="",1,0)+IF($AC52="",1,0)+IF($AG52="",1,0)+IF($AH52="",1,0)+IF($AI52="",1,0)+IF($AL52="",1,0)+IF($AP52="",1,0)+IF($AQ52="",1,0)+IF(AND($I52="あり",$J52=""),1,0)+IF(AND($I52="あり",$K52=""),1,0)+IF(AND($AA52="",$AB52=""),1,0)+IF(AND($AC52="あり",$AD52=""),1,0)+IF(AND($AC52="あり",OR($AD52="",$AD52="後日提出"),$AE52=""),1,0)+IF($AV52="",1,0)+IF(AND($AL52="外国",$AM52=""),1,0)+IF(AND($AL52="外国",$AN52=""),1,0)+IF(AND($AL52="外国",$AO52=""),1,0))</f>
        <v/>
      </c>
      <c r="AU52">
        <f>IF($B52="","",IF(AND($AA52&lt;&gt;"",$AA52&lt;&gt;"後日提出",$AA52&lt;&gt;"別経路提出",LEN($AA52)&lt;&gt;12),1,0)+IF(AND($AB52&lt;&gt;"",$AB52&lt;&gt;"後日提出",LEN($AB52)&lt;&gt;10),1,0)+IF(AND($AD52&lt;&gt;"",$AD52&lt;&gt;"後日提出",LEN($AD52)&lt;&gt;11),1,0)+IF(AND($AG52&lt;&gt;"",LEN(SUBSTITUTE($AG52,"-",""))&lt;&gt;7),1,0))</f>
        <v/>
      </c>
      <c r="AV52" s="17" t="n"/>
      <c r="AW52" s="59" t="n"/>
      <c r="AX52" s="17" t="n"/>
      <c r="AY52" s="17" t="n"/>
    </row>
    <row r="53">
      <c r="A53" s="23">
        <f>IF($B53="","",ROW()-8)</f>
        <v/>
      </c>
      <c r="B53" s="17" t="n"/>
      <c r="C53" s="17" t="n"/>
      <c r="D53" s="17" t="n"/>
      <c r="E53" s="67" t="n"/>
      <c r="F53" s="58">
        <f>IF(OR($E53="",$E53&gt;80000),"",DATEDIF($E53,IF(OR($G53="",$G53&gt;80000),TODAY(),$G53),"Y"))</f>
        <v/>
      </c>
      <c r="G53" s="67" t="n"/>
      <c r="H53" s="17" t="n"/>
      <c r="I53" s="17" t="n"/>
      <c r="J53" s="67" t="n"/>
      <c r="K53" s="17" t="n"/>
      <c r="L53" s="17" t="n"/>
      <c r="M53" s="17" t="n"/>
      <c r="N53" s="17" t="n"/>
      <c r="O53" s="23">
        <f>IF($B53="","",IF($I53="なし","あり",IF($I53&lt;&gt;"あり","",IF($K53="更新の可能性あり","あり",IF(OR($J53="",$G53=""),"なし",IF(OR(NOT(ISNUMBER($G53)),NOT(ISNUMBER($J53)),$G53&gt;80000,$J53&gt;80000),"要確認（日付）",IF($J53&gt;IF(DAY(EDATE($G53,2))&lt;DAY($G53),EOMONTH($G53,2),EDATE($G53,2)-1),"あり","なし"))))))</f>
        <v/>
      </c>
      <c r="P53" s="23">
        <f>IF($B53="","",IF($I53="なし","あり",IF($I53="あり",IF(OR($K53="更新の可能性あり",AND($J53&lt;&gt;"",$G53&lt;&gt;"",$J53-$G53+1&gt;=31)),"あり","なし"),"")))</f>
        <v/>
      </c>
      <c r="Q53" s="17" t="n"/>
      <c r="R53" s="59" t="n"/>
      <c r="S53" s="59" t="n"/>
      <c r="T53" s="59" t="n"/>
      <c r="U53" s="59" t="n"/>
      <c r="V53" s="59" t="n"/>
      <c r="W53" s="79">
        <f>IF($B53="","",SUM($S53,$T53,$U53,$V53))</f>
        <v/>
      </c>
      <c r="X53" s="23">
        <f>IF(OR('⓪ 事業所設定'!$C$9="",'⓪ 事業所設定'!$C$13="",'⓪ 事業所設定'!$C$14="",'⓪ 事業所設定'!$C$17=""),"事業所設定が未入力です",IF($B53="","",IF(AND($L53&gt;='⓪ 事業所設定'!$C$13*0.75,$M53&gt;='⓪ 事業所設定'!$C$14*0.75,$O53="あり"),"加入（一般被保険者）",IF(AND('⓪ 事業所設定'!$C$12="適用あり",$L53&gt;=20,$O53="あり",$N53&lt;&gt;"昼間部の学生",OR('⓪ 事業所設定'!$C$17&gt;=DATE(2026,10,1),($S53+$T53-N($AW53))&gt;=88000)),"加入（短時間労働者）","加入対象外"))))</f>
        <v/>
      </c>
      <c r="Y53" s="23">
        <f>IF($B53="","",TRIM(IF(AND($F53&lt;&gt;"",$F53&gt;=70,ISNUMBER(SEARCH("加入（",$X53))),"厚年対象外（70歳以上被用者該当届） ","")&amp;IF(AND($F53&lt;&gt;"",$F53&gt;=75),"健保対象外（後期高齢者医療） ","")&amp;IF(AND($F53&lt;&gt;"",$F53&gt;=65,$Z53="加入"),"雇保：高年齢被保険者 ","")))</f>
        <v/>
      </c>
      <c r="Z53" s="23">
        <f>IF($B53="","",IF($H53="役員","対象外（兼務役員なら要相談）",IF(AND($L53&gt;=20,$P53="あり",$N53&lt;&gt;"昼間部の学生"),"加入","加入対象外")))</f>
        <v/>
      </c>
      <c r="AA53" s="61" t="n"/>
      <c r="AB53" s="61" t="n"/>
      <c r="AC53" s="17" t="n"/>
      <c r="AD53" s="61" t="n"/>
      <c r="AE53" s="17" t="n"/>
      <c r="AF53" s="17" t="n"/>
      <c r="AG53" s="61" t="n"/>
      <c r="AH53" s="17" t="n"/>
      <c r="AI53" s="17" t="n"/>
      <c r="AJ53" s="17" t="n"/>
      <c r="AK53" s="17" t="n"/>
      <c r="AL53" s="17" t="n"/>
      <c r="AM53" s="17" t="n"/>
      <c r="AN53" s="67" t="n"/>
      <c r="AO53" s="17" t="n"/>
      <c r="AP53" s="17" t="n"/>
      <c r="AQ53" s="17" t="n"/>
      <c r="AR53" s="17" t="n"/>
      <c r="AT53">
        <f>IF($B53="","",IF($B53="",1,0)+IF($C53="",1,0)+IF($D53="",1,0)+IF($E53="",1,0)+IF($G53="",1,0)+IF($H53="",1,0)+IF($I53="",1,0)+IF($L53="",1,0)+IF($M53="",1,0)+IF($N53="",1,0)+IF($Q53="",1,0)+IF($S53="",1,0)+IF($AA53="",1,0)+IF($AC53="",1,0)+IF($AG53="",1,0)+IF($AH53="",1,0)+IF($AI53="",1,0)+IF($AL53="",1,0)+IF($AP53="",1,0)+IF($AQ53="",1,0)+IF(AND($I53="あり",$J53=""),1,0)+IF(AND($I53="あり",$K53=""),1,0)+IF(AND($AA53="",$AB53=""),1,0)+IF(AND($AC53="あり",$AD53=""),1,0)+IF(AND($AC53="あり",OR($AD53="",$AD53="後日提出"),$AE53=""),1,0)+IF($AV53="",1,0)+IF(AND($AL53="外国",$AM53=""),1,0)+IF(AND($AL53="外国",$AN53=""),1,0)+IF(AND($AL53="外国",$AO53=""),1,0))</f>
        <v/>
      </c>
      <c r="AU53">
        <f>IF($B53="","",IF(AND($AA53&lt;&gt;"",$AA53&lt;&gt;"後日提出",$AA53&lt;&gt;"別経路提出",LEN($AA53)&lt;&gt;12),1,0)+IF(AND($AB53&lt;&gt;"",$AB53&lt;&gt;"後日提出",LEN($AB53)&lt;&gt;10),1,0)+IF(AND($AD53&lt;&gt;"",$AD53&lt;&gt;"後日提出",LEN($AD53)&lt;&gt;11),1,0)+IF(AND($AG53&lt;&gt;"",LEN(SUBSTITUTE($AG53,"-",""))&lt;&gt;7),1,0))</f>
        <v/>
      </c>
      <c r="AV53" s="17" t="n"/>
      <c r="AW53" s="59" t="n"/>
      <c r="AX53" s="17" t="n"/>
      <c r="AY53" s="17" t="n"/>
    </row>
    <row r="54">
      <c r="A54" s="23">
        <f>IF($B54="","",ROW()-8)</f>
        <v/>
      </c>
      <c r="B54" s="17" t="n"/>
      <c r="C54" s="17" t="n"/>
      <c r="D54" s="17" t="n"/>
      <c r="E54" s="67" t="n"/>
      <c r="F54" s="58">
        <f>IF(OR($E54="",$E54&gt;80000),"",DATEDIF($E54,IF(OR($G54="",$G54&gt;80000),TODAY(),$G54),"Y"))</f>
        <v/>
      </c>
      <c r="G54" s="67" t="n"/>
      <c r="H54" s="17" t="n"/>
      <c r="I54" s="17" t="n"/>
      <c r="J54" s="67" t="n"/>
      <c r="K54" s="17" t="n"/>
      <c r="L54" s="17" t="n"/>
      <c r="M54" s="17" t="n"/>
      <c r="N54" s="17" t="n"/>
      <c r="O54" s="23">
        <f>IF($B54="","",IF($I54="なし","あり",IF($I54&lt;&gt;"あり","",IF($K54="更新の可能性あり","あり",IF(OR($J54="",$G54=""),"なし",IF(OR(NOT(ISNUMBER($G54)),NOT(ISNUMBER($J54)),$G54&gt;80000,$J54&gt;80000),"要確認（日付）",IF($J54&gt;IF(DAY(EDATE($G54,2))&lt;DAY($G54),EOMONTH($G54,2),EDATE($G54,2)-1),"あり","なし"))))))</f>
        <v/>
      </c>
      <c r="P54" s="23">
        <f>IF($B54="","",IF($I54="なし","あり",IF($I54="あり",IF(OR($K54="更新の可能性あり",AND($J54&lt;&gt;"",$G54&lt;&gt;"",$J54-$G54+1&gt;=31)),"あり","なし"),"")))</f>
        <v/>
      </c>
      <c r="Q54" s="17" t="n"/>
      <c r="R54" s="59" t="n"/>
      <c r="S54" s="59" t="n"/>
      <c r="T54" s="59" t="n"/>
      <c r="U54" s="59" t="n"/>
      <c r="V54" s="59" t="n"/>
      <c r="W54" s="79">
        <f>IF($B54="","",SUM($S54,$T54,$U54,$V54))</f>
        <v/>
      </c>
      <c r="X54" s="23">
        <f>IF(OR('⓪ 事業所設定'!$C$9="",'⓪ 事業所設定'!$C$13="",'⓪ 事業所設定'!$C$14="",'⓪ 事業所設定'!$C$17=""),"事業所設定が未入力です",IF($B54="","",IF(AND($L54&gt;='⓪ 事業所設定'!$C$13*0.75,$M54&gt;='⓪ 事業所設定'!$C$14*0.75,$O54="あり"),"加入（一般被保険者）",IF(AND('⓪ 事業所設定'!$C$12="適用あり",$L54&gt;=20,$O54="あり",$N54&lt;&gt;"昼間部の学生",OR('⓪ 事業所設定'!$C$17&gt;=DATE(2026,10,1),($S54+$T54-N($AW54))&gt;=88000)),"加入（短時間労働者）","加入対象外"))))</f>
        <v/>
      </c>
      <c r="Y54" s="23">
        <f>IF($B54="","",TRIM(IF(AND($F54&lt;&gt;"",$F54&gt;=70,ISNUMBER(SEARCH("加入（",$X54))),"厚年対象外（70歳以上被用者該当届） ","")&amp;IF(AND($F54&lt;&gt;"",$F54&gt;=75),"健保対象外（後期高齢者医療） ","")&amp;IF(AND($F54&lt;&gt;"",$F54&gt;=65,$Z54="加入"),"雇保：高年齢被保険者 ","")))</f>
        <v/>
      </c>
      <c r="Z54" s="23">
        <f>IF($B54="","",IF($H54="役員","対象外（兼務役員なら要相談）",IF(AND($L54&gt;=20,$P54="あり",$N54&lt;&gt;"昼間部の学生"),"加入","加入対象外")))</f>
        <v/>
      </c>
      <c r="AA54" s="61" t="n"/>
      <c r="AB54" s="61" t="n"/>
      <c r="AC54" s="17" t="n"/>
      <c r="AD54" s="61" t="n"/>
      <c r="AE54" s="17" t="n"/>
      <c r="AF54" s="17" t="n"/>
      <c r="AG54" s="61" t="n"/>
      <c r="AH54" s="17" t="n"/>
      <c r="AI54" s="17" t="n"/>
      <c r="AJ54" s="17" t="n"/>
      <c r="AK54" s="17" t="n"/>
      <c r="AL54" s="17" t="n"/>
      <c r="AM54" s="17" t="n"/>
      <c r="AN54" s="67" t="n"/>
      <c r="AO54" s="17" t="n"/>
      <c r="AP54" s="17" t="n"/>
      <c r="AQ54" s="17" t="n"/>
      <c r="AR54" s="17" t="n"/>
      <c r="AT54">
        <f>IF($B54="","",IF($B54="",1,0)+IF($C54="",1,0)+IF($D54="",1,0)+IF($E54="",1,0)+IF($G54="",1,0)+IF($H54="",1,0)+IF($I54="",1,0)+IF($L54="",1,0)+IF($M54="",1,0)+IF($N54="",1,0)+IF($Q54="",1,0)+IF($S54="",1,0)+IF($AA54="",1,0)+IF($AC54="",1,0)+IF($AG54="",1,0)+IF($AH54="",1,0)+IF($AI54="",1,0)+IF($AL54="",1,0)+IF($AP54="",1,0)+IF($AQ54="",1,0)+IF(AND($I54="あり",$J54=""),1,0)+IF(AND($I54="あり",$K54=""),1,0)+IF(AND($AA54="",$AB54=""),1,0)+IF(AND($AC54="あり",$AD54=""),1,0)+IF(AND($AC54="あり",OR($AD54="",$AD54="後日提出"),$AE54=""),1,0)+IF($AV54="",1,0)+IF(AND($AL54="外国",$AM54=""),1,0)+IF(AND($AL54="外国",$AN54=""),1,0)+IF(AND($AL54="外国",$AO54=""),1,0))</f>
        <v/>
      </c>
      <c r="AU54">
        <f>IF($B54="","",IF(AND($AA54&lt;&gt;"",$AA54&lt;&gt;"後日提出",$AA54&lt;&gt;"別経路提出",LEN($AA54)&lt;&gt;12),1,0)+IF(AND($AB54&lt;&gt;"",$AB54&lt;&gt;"後日提出",LEN($AB54)&lt;&gt;10),1,0)+IF(AND($AD54&lt;&gt;"",$AD54&lt;&gt;"後日提出",LEN($AD54)&lt;&gt;11),1,0)+IF(AND($AG54&lt;&gt;"",LEN(SUBSTITUTE($AG54,"-",""))&lt;&gt;7),1,0))</f>
        <v/>
      </c>
      <c r="AV54" s="17" t="n"/>
      <c r="AW54" s="59" t="n"/>
      <c r="AX54" s="17" t="n"/>
      <c r="AY54" s="17" t="n"/>
    </row>
    <row r="55">
      <c r="A55" s="23">
        <f>IF($B55="","",ROW()-8)</f>
        <v/>
      </c>
      <c r="B55" s="17" t="n"/>
      <c r="C55" s="17" t="n"/>
      <c r="D55" s="17" t="n"/>
      <c r="E55" s="67" t="n"/>
      <c r="F55" s="58">
        <f>IF(OR($E55="",$E55&gt;80000),"",DATEDIF($E55,IF(OR($G55="",$G55&gt;80000),TODAY(),$G55),"Y"))</f>
        <v/>
      </c>
      <c r="G55" s="67" t="n"/>
      <c r="H55" s="17" t="n"/>
      <c r="I55" s="17" t="n"/>
      <c r="J55" s="67" t="n"/>
      <c r="K55" s="17" t="n"/>
      <c r="L55" s="17" t="n"/>
      <c r="M55" s="17" t="n"/>
      <c r="N55" s="17" t="n"/>
      <c r="O55" s="23">
        <f>IF($B55="","",IF($I55="なし","あり",IF($I55&lt;&gt;"あり","",IF($K55="更新の可能性あり","あり",IF(OR($J55="",$G55=""),"なし",IF(OR(NOT(ISNUMBER($G55)),NOT(ISNUMBER($J55)),$G55&gt;80000,$J55&gt;80000),"要確認（日付）",IF($J55&gt;IF(DAY(EDATE($G55,2))&lt;DAY($G55),EOMONTH($G55,2),EDATE($G55,2)-1),"あり","なし"))))))</f>
        <v/>
      </c>
      <c r="P55" s="23">
        <f>IF($B55="","",IF($I55="なし","あり",IF($I55="あり",IF(OR($K55="更新の可能性あり",AND($J55&lt;&gt;"",$G55&lt;&gt;"",$J55-$G55+1&gt;=31)),"あり","なし"),"")))</f>
        <v/>
      </c>
      <c r="Q55" s="17" t="n"/>
      <c r="R55" s="59" t="n"/>
      <c r="S55" s="59" t="n"/>
      <c r="T55" s="59" t="n"/>
      <c r="U55" s="59" t="n"/>
      <c r="V55" s="59" t="n"/>
      <c r="W55" s="79">
        <f>IF($B55="","",SUM($S55,$T55,$U55,$V55))</f>
        <v/>
      </c>
      <c r="X55" s="23">
        <f>IF(OR('⓪ 事業所設定'!$C$9="",'⓪ 事業所設定'!$C$13="",'⓪ 事業所設定'!$C$14="",'⓪ 事業所設定'!$C$17=""),"事業所設定が未入力です",IF($B55="","",IF(AND($L55&gt;='⓪ 事業所設定'!$C$13*0.75,$M55&gt;='⓪ 事業所設定'!$C$14*0.75,$O55="あり"),"加入（一般被保険者）",IF(AND('⓪ 事業所設定'!$C$12="適用あり",$L55&gt;=20,$O55="あり",$N55&lt;&gt;"昼間部の学生",OR('⓪ 事業所設定'!$C$17&gt;=DATE(2026,10,1),($S55+$T55-N($AW55))&gt;=88000)),"加入（短時間労働者）","加入対象外"))))</f>
        <v/>
      </c>
      <c r="Y55" s="23">
        <f>IF($B55="","",TRIM(IF(AND($F55&lt;&gt;"",$F55&gt;=70,ISNUMBER(SEARCH("加入（",$X55))),"厚年対象外（70歳以上被用者該当届） ","")&amp;IF(AND($F55&lt;&gt;"",$F55&gt;=75),"健保対象外（後期高齢者医療） ","")&amp;IF(AND($F55&lt;&gt;"",$F55&gt;=65,$Z55="加入"),"雇保：高年齢被保険者 ","")))</f>
        <v/>
      </c>
      <c r="Z55" s="23">
        <f>IF($B55="","",IF($H55="役員","対象外（兼務役員なら要相談）",IF(AND($L55&gt;=20,$P55="あり",$N55&lt;&gt;"昼間部の学生"),"加入","加入対象外")))</f>
        <v/>
      </c>
      <c r="AA55" s="61" t="n"/>
      <c r="AB55" s="61" t="n"/>
      <c r="AC55" s="17" t="n"/>
      <c r="AD55" s="61" t="n"/>
      <c r="AE55" s="17" t="n"/>
      <c r="AF55" s="17" t="n"/>
      <c r="AG55" s="61" t="n"/>
      <c r="AH55" s="17" t="n"/>
      <c r="AI55" s="17" t="n"/>
      <c r="AJ55" s="17" t="n"/>
      <c r="AK55" s="17" t="n"/>
      <c r="AL55" s="17" t="n"/>
      <c r="AM55" s="17" t="n"/>
      <c r="AN55" s="67" t="n"/>
      <c r="AO55" s="17" t="n"/>
      <c r="AP55" s="17" t="n"/>
      <c r="AQ55" s="17" t="n"/>
      <c r="AR55" s="17" t="n"/>
      <c r="AT55">
        <f>IF($B55="","",IF($B55="",1,0)+IF($C55="",1,0)+IF($D55="",1,0)+IF($E55="",1,0)+IF($G55="",1,0)+IF($H55="",1,0)+IF($I55="",1,0)+IF($L55="",1,0)+IF($M55="",1,0)+IF($N55="",1,0)+IF($Q55="",1,0)+IF($S55="",1,0)+IF($AA55="",1,0)+IF($AC55="",1,0)+IF($AG55="",1,0)+IF($AH55="",1,0)+IF($AI55="",1,0)+IF($AL55="",1,0)+IF($AP55="",1,0)+IF($AQ55="",1,0)+IF(AND($I55="あり",$J55=""),1,0)+IF(AND($I55="あり",$K55=""),1,0)+IF(AND($AA55="",$AB55=""),1,0)+IF(AND($AC55="あり",$AD55=""),1,0)+IF(AND($AC55="あり",OR($AD55="",$AD55="後日提出"),$AE55=""),1,0)+IF($AV55="",1,0)+IF(AND($AL55="外国",$AM55=""),1,0)+IF(AND($AL55="外国",$AN55=""),1,0)+IF(AND($AL55="外国",$AO55=""),1,0))</f>
        <v/>
      </c>
      <c r="AU55">
        <f>IF($B55="","",IF(AND($AA55&lt;&gt;"",$AA55&lt;&gt;"後日提出",$AA55&lt;&gt;"別経路提出",LEN($AA55)&lt;&gt;12),1,0)+IF(AND($AB55&lt;&gt;"",$AB55&lt;&gt;"後日提出",LEN($AB55)&lt;&gt;10),1,0)+IF(AND($AD55&lt;&gt;"",$AD55&lt;&gt;"後日提出",LEN($AD55)&lt;&gt;11),1,0)+IF(AND($AG55&lt;&gt;"",LEN(SUBSTITUTE($AG55,"-",""))&lt;&gt;7),1,0))</f>
        <v/>
      </c>
      <c r="AV55" s="17" t="n"/>
      <c r="AW55" s="59" t="n"/>
      <c r="AX55" s="17" t="n"/>
      <c r="AY55" s="17" t="n"/>
    </row>
    <row r="56">
      <c r="A56" s="23">
        <f>IF($B56="","",ROW()-8)</f>
        <v/>
      </c>
      <c r="B56" s="17" t="n"/>
      <c r="C56" s="17" t="n"/>
      <c r="D56" s="17" t="n"/>
      <c r="E56" s="67" t="n"/>
      <c r="F56" s="58">
        <f>IF(OR($E56="",$E56&gt;80000),"",DATEDIF($E56,IF(OR($G56="",$G56&gt;80000),TODAY(),$G56),"Y"))</f>
        <v/>
      </c>
      <c r="G56" s="67" t="n"/>
      <c r="H56" s="17" t="n"/>
      <c r="I56" s="17" t="n"/>
      <c r="J56" s="67" t="n"/>
      <c r="K56" s="17" t="n"/>
      <c r="L56" s="17" t="n"/>
      <c r="M56" s="17" t="n"/>
      <c r="N56" s="17" t="n"/>
      <c r="O56" s="23">
        <f>IF($B56="","",IF($I56="なし","あり",IF($I56&lt;&gt;"あり","",IF($K56="更新の可能性あり","あり",IF(OR($J56="",$G56=""),"なし",IF(OR(NOT(ISNUMBER($G56)),NOT(ISNUMBER($J56)),$G56&gt;80000,$J56&gt;80000),"要確認（日付）",IF($J56&gt;IF(DAY(EDATE($G56,2))&lt;DAY($G56),EOMONTH($G56,2),EDATE($G56,2)-1),"あり","なし"))))))</f>
        <v/>
      </c>
      <c r="P56" s="23">
        <f>IF($B56="","",IF($I56="なし","あり",IF($I56="あり",IF(OR($K56="更新の可能性あり",AND($J56&lt;&gt;"",$G56&lt;&gt;"",$J56-$G56+1&gt;=31)),"あり","なし"),"")))</f>
        <v/>
      </c>
      <c r="Q56" s="17" t="n"/>
      <c r="R56" s="59" t="n"/>
      <c r="S56" s="59" t="n"/>
      <c r="T56" s="59" t="n"/>
      <c r="U56" s="59" t="n"/>
      <c r="V56" s="59" t="n"/>
      <c r="W56" s="79">
        <f>IF($B56="","",SUM($S56,$T56,$U56,$V56))</f>
        <v/>
      </c>
      <c r="X56" s="23">
        <f>IF(OR('⓪ 事業所設定'!$C$9="",'⓪ 事業所設定'!$C$13="",'⓪ 事業所設定'!$C$14="",'⓪ 事業所設定'!$C$17=""),"事業所設定が未入力です",IF($B56="","",IF(AND($L56&gt;='⓪ 事業所設定'!$C$13*0.75,$M56&gt;='⓪ 事業所設定'!$C$14*0.75,$O56="あり"),"加入（一般被保険者）",IF(AND('⓪ 事業所設定'!$C$12="適用あり",$L56&gt;=20,$O56="あり",$N56&lt;&gt;"昼間部の学生",OR('⓪ 事業所設定'!$C$17&gt;=DATE(2026,10,1),($S56+$T56-N($AW56))&gt;=88000)),"加入（短時間労働者）","加入対象外"))))</f>
        <v/>
      </c>
      <c r="Y56" s="23">
        <f>IF($B56="","",TRIM(IF(AND($F56&lt;&gt;"",$F56&gt;=70,ISNUMBER(SEARCH("加入（",$X56))),"厚年対象外（70歳以上被用者該当届） ","")&amp;IF(AND($F56&lt;&gt;"",$F56&gt;=75),"健保対象外（後期高齢者医療） ","")&amp;IF(AND($F56&lt;&gt;"",$F56&gt;=65,$Z56="加入"),"雇保：高年齢被保険者 ","")))</f>
        <v/>
      </c>
      <c r="Z56" s="23">
        <f>IF($B56="","",IF($H56="役員","対象外（兼務役員なら要相談）",IF(AND($L56&gt;=20,$P56="あり",$N56&lt;&gt;"昼間部の学生"),"加入","加入対象外")))</f>
        <v/>
      </c>
      <c r="AA56" s="61" t="n"/>
      <c r="AB56" s="61" t="n"/>
      <c r="AC56" s="17" t="n"/>
      <c r="AD56" s="61" t="n"/>
      <c r="AE56" s="17" t="n"/>
      <c r="AF56" s="17" t="n"/>
      <c r="AG56" s="61" t="n"/>
      <c r="AH56" s="17" t="n"/>
      <c r="AI56" s="17" t="n"/>
      <c r="AJ56" s="17" t="n"/>
      <c r="AK56" s="17" t="n"/>
      <c r="AL56" s="17" t="n"/>
      <c r="AM56" s="17" t="n"/>
      <c r="AN56" s="67" t="n"/>
      <c r="AO56" s="17" t="n"/>
      <c r="AP56" s="17" t="n"/>
      <c r="AQ56" s="17" t="n"/>
      <c r="AR56" s="17" t="n"/>
      <c r="AT56">
        <f>IF($B56="","",IF($B56="",1,0)+IF($C56="",1,0)+IF($D56="",1,0)+IF($E56="",1,0)+IF($G56="",1,0)+IF($H56="",1,0)+IF($I56="",1,0)+IF($L56="",1,0)+IF($M56="",1,0)+IF($N56="",1,0)+IF($Q56="",1,0)+IF($S56="",1,0)+IF($AA56="",1,0)+IF($AC56="",1,0)+IF($AG56="",1,0)+IF($AH56="",1,0)+IF($AI56="",1,0)+IF($AL56="",1,0)+IF($AP56="",1,0)+IF($AQ56="",1,0)+IF(AND($I56="あり",$J56=""),1,0)+IF(AND($I56="あり",$K56=""),1,0)+IF(AND($AA56="",$AB56=""),1,0)+IF(AND($AC56="あり",$AD56=""),1,0)+IF(AND($AC56="あり",OR($AD56="",$AD56="後日提出"),$AE56=""),1,0)+IF($AV56="",1,0)+IF(AND($AL56="外国",$AM56=""),1,0)+IF(AND($AL56="外国",$AN56=""),1,0)+IF(AND($AL56="外国",$AO56=""),1,0))</f>
        <v/>
      </c>
      <c r="AU56">
        <f>IF($B56="","",IF(AND($AA56&lt;&gt;"",$AA56&lt;&gt;"後日提出",$AA56&lt;&gt;"別経路提出",LEN($AA56)&lt;&gt;12),1,0)+IF(AND($AB56&lt;&gt;"",$AB56&lt;&gt;"後日提出",LEN($AB56)&lt;&gt;10),1,0)+IF(AND($AD56&lt;&gt;"",$AD56&lt;&gt;"後日提出",LEN($AD56)&lt;&gt;11),1,0)+IF(AND($AG56&lt;&gt;"",LEN(SUBSTITUTE($AG56,"-",""))&lt;&gt;7),1,0))</f>
        <v/>
      </c>
      <c r="AV56" s="17" t="n"/>
      <c r="AW56" s="59" t="n"/>
      <c r="AX56" s="17" t="n"/>
      <c r="AY56" s="17" t="n"/>
    </row>
    <row r="57">
      <c r="A57" s="23">
        <f>IF($B57="","",ROW()-8)</f>
        <v/>
      </c>
      <c r="B57" s="17" t="n"/>
      <c r="C57" s="17" t="n"/>
      <c r="D57" s="17" t="n"/>
      <c r="E57" s="67" t="n"/>
      <c r="F57" s="58">
        <f>IF(OR($E57="",$E57&gt;80000),"",DATEDIF($E57,IF(OR($G57="",$G57&gt;80000),TODAY(),$G57),"Y"))</f>
        <v/>
      </c>
      <c r="G57" s="67" t="n"/>
      <c r="H57" s="17" t="n"/>
      <c r="I57" s="17" t="n"/>
      <c r="J57" s="67" t="n"/>
      <c r="K57" s="17" t="n"/>
      <c r="L57" s="17" t="n"/>
      <c r="M57" s="17" t="n"/>
      <c r="N57" s="17" t="n"/>
      <c r="O57" s="23">
        <f>IF($B57="","",IF($I57="なし","あり",IF($I57&lt;&gt;"あり","",IF($K57="更新の可能性あり","あり",IF(OR($J57="",$G57=""),"なし",IF(OR(NOT(ISNUMBER($G57)),NOT(ISNUMBER($J57)),$G57&gt;80000,$J57&gt;80000),"要確認（日付）",IF($J57&gt;IF(DAY(EDATE($G57,2))&lt;DAY($G57),EOMONTH($G57,2),EDATE($G57,2)-1),"あり","なし"))))))</f>
        <v/>
      </c>
      <c r="P57" s="23">
        <f>IF($B57="","",IF($I57="なし","あり",IF($I57="あり",IF(OR($K57="更新の可能性あり",AND($J57&lt;&gt;"",$G57&lt;&gt;"",$J57-$G57+1&gt;=31)),"あり","なし"),"")))</f>
        <v/>
      </c>
      <c r="Q57" s="17" t="n"/>
      <c r="R57" s="59" t="n"/>
      <c r="S57" s="59" t="n"/>
      <c r="T57" s="59" t="n"/>
      <c r="U57" s="59" t="n"/>
      <c r="V57" s="59" t="n"/>
      <c r="W57" s="79">
        <f>IF($B57="","",SUM($S57,$T57,$U57,$V57))</f>
        <v/>
      </c>
      <c r="X57" s="23">
        <f>IF(OR('⓪ 事業所設定'!$C$9="",'⓪ 事業所設定'!$C$13="",'⓪ 事業所設定'!$C$14="",'⓪ 事業所設定'!$C$17=""),"事業所設定が未入力です",IF($B57="","",IF(AND($L57&gt;='⓪ 事業所設定'!$C$13*0.75,$M57&gt;='⓪ 事業所設定'!$C$14*0.75,$O57="あり"),"加入（一般被保険者）",IF(AND('⓪ 事業所設定'!$C$12="適用あり",$L57&gt;=20,$O57="あり",$N57&lt;&gt;"昼間部の学生",OR('⓪ 事業所設定'!$C$17&gt;=DATE(2026,10,1),($S57+$T57-N($AW57))&gt;=88000)),"加入（短時間労働者）","加入対象外"))))</f>
        <v/>
      </c>
      <c r="Y57" s="23">
        <f>IF($B57="","",TRIM(IF(AND($F57&lt;&gt;"",$F57&gt;=70,ISNUMBER(SEARCH("加入（",$X57))),"厚年対象外（70歳以上被用者該当届） ","")&amp;IF(AND($F57&lt;&gt;"",$F57&gt;=75),"健保対象外（後期高齢者医療） ","")&amp;IF(AND($F57&lt;&gt;"",$F57&gt;=65,$Z57="加入"),"雇保：高年齢被保険者 ","")))</f>
        <v/>
      </c>
      <c r="Z57" s="23">
        <f>IF($B57="","",IF($H57="役員","対象外（兼務役員なら要相談）",IF(AND($L57&gt;=20,$P57="あり",$N57&lt;&gt;"昼間部の学生"),"加入","加入対象外")))</f>
        <v/>
      </c>
      <c r="AA57" s="61" t="n"/>
      <c r="AB57" s="61" t="n"/>
      <c r="AC57" s="17" t="n"/>
      <c r="AD57" s="61" t="n"/>
      <c r="AE57" s="17" t="n"/>
      <c r="AF57" s="17" t="n"/>
      <c r="AG57" s="61" t="n"/>
      <c r="AH57" s="17" t="n"/>
      <c r="AI57" s="17" t="n"/>
      <c r="AJ57" s="17" t="n"/>
      <c r="AK57" s="17" t="n"/>
      <c r="AL57" s="17" t="n"/>
      <c r="AM57" s="17" t="n"/>
      <c r="AN57" s="67" t="n"/>
      <c r="AO57" s="17" t="n"/>
      <c r="AP57" s="17" t="n"/>
      <c r="AQ57" s="17" t="n"/>
      <c r="AR57" s="17" t="n"/>
      <c r="AT57">
        <f>IF($B57="","",IF($B57="",1,0)+IF($C57="",1,0)+IF($D57="",1,0)+IF($E57="",1,0)+IF($G57="",1,0)+IF($H57="",1,0)+IF($I57="",1,0)+IF($L57="",1,0)+IF($M57="",1,0)+IF($N57="",1,0)+IF($Q57="",1,0)+IF($S57="",1,0)+IF($AA57="",1,0)+IF($AC57="",1,0)+IF($AG57="",1,0)+IF($AH57="",1,0)+IF($AI57="",1,0)+IF($AL57="",1,0)+IF($AP57="",1,0)+IF($AQ57="",1,0)+IF(AND($I57="あり",$J57=""),1,0)+IF(AND($I57="あり",$K57=""),1,0)+IF(AND($AA57="",$AB57=""),1,0)+IF(AND($AC57="あり",$AD57=""),1,0)+IF(AND($AC57="あり",OR($AD57="",$AD57="後日提出"),$AE57=""),1,0)+IF($AV57="",1,0)+IF(AND($AL57="外国",$AM57=""),1,0)+IF(AND($AL57="外国",$AN57=""),1,0)+IF(AND($AL57="外国",$AO57=""),1,0))</f>
        <v/>
      </c>
      <c r="AU57">
        <f>IF($B57="","",IF(AND($AA57&lt;&gt;"",$AA57&lt;&gt;"後日提出",$AA57&lt;&gt;"別経路提出",LEN($AA57)&lt;&gt;12),1,0)+IF(AND($AB57&lt;&gt;"",$AB57&lt;&gt;"後日提出",LEN($AB57)&lt;&gt;10),1,0)+IF(AND($AD57&lt;&gt;"",$AD57&lt;&gt;"後日提出",LEN($AD57)&lt;&gt;11),1,0)+IF(AND($AG57&lt;&gt;"",LEN(SUBSTITUTE($AG57,"-",""))&lt;&gt;7),1,0))</f>
        <v/>
      </c>
      <c r="AV57" s="17" t="n"/>
      <c r="AW57" s="59" t="n"/>
      <c r="AX57" s="17" t="n"/>
      <c r="AY57" s="17" t="n"/>
    </row>
    <row r="58">
      <c r="A58" s="23">
        <f>IF($B58="","",ROW()-8)</f>
        <v/>
      </c>
      <c r="B58" s="17" t="n"/>
      <c r="C58" s="17" t="n"/>
      <c r="D58" s="17" t="n"/>
      <c r="E58" s="67" t="n"/>
      <c r="F58" s="58">
        <f>IF(OR($E58="",$E58&gt;80000),"",DATEDIF($E58,IF(OR($G58="",$G58&gt;80000),TODAY(),$G58),"Y"))</f>
        <v/>
      </c>
      <c r="G58" s="67" t="n"/>
      <c r="H58" s="17" t="n"/>
      <c r="I58" s="17" t="n"/>
      <c r="J58" s="67" t="n"/>
      <c r="K58" s="17" t="n"/>
      <c r="L58" s="17" t="n"/>
      <c r="M58" s="17" t="n"/>
      <c r="N58" s="17" t="n"/>
      <c r="O58" s="23">
        <f>IF($B58="","",IF($I58="なし","あり",IF($I58&lt;&gt;"あり","",IF($K58="更新の可能性あり","あり",IF(OR($J58="",$G58=""),"なし",IF(OR(NOT(ISNUMBER($G58)),NOT(ISNUMBER($J58)),$G58&gt;80000,$J58&gt;80000),"要確認（日付）",IF($J58&gt;IF(DAY(EDATE($G58,2))&lt;DAY($G58),EOMONTH($G58,2),EDATE($G58,2)-1),"あり","なし"))))))</f>
        <v/>
      </c>
      <c r="P58" s="23">
        <f>IF($B58="","",IF($I58="なし","あり",IF($I58="あり",IF(OR($K58="更新の可能性あり",AND($J58&lt;&gt;"",$G58&lt;&gt;"",$J58-$G58+1&gt;=31)),"あり","なし"),"")))</f>
        <v/>
      </c>
      <c r="Q58" s="17" t="n"/>
      <c r="R58" s="59" t="n"/>
      <c r="S58" s="59" t="n"/>
      <c r="T58" s="59" t="n"/>
      <c r="U58" s="59" t="n"/>
      <c r="V58" s="59" t="n"/>
      <c r="W58" s="79">
        <f>IF($B58="","",SUM($S58,$T58,$U58,$V58))</f>
        <v/>
      </c>
      <c r="X58" s="23">
        <f>IF(OR('⓪ 事業所設定'!$C$9="",'⓪ 事業所設定'!$C$13="",'⓪ 事業所設定'!$C$14="",'⓪ 事業所設定'!$C$17=""),"事業所設定が未入力です",IF($B58="","",IF(AND($L58&gt;='⓪ 事業所設定'!$C$13*0.75,$M58&gt;='⓪ 事業所設定'!$C$14*0.75,$O58="あり"),"加入（一般被保険者）",IF(AND('⓪ 事業所設定'!$C$12="適用あり",$L58&gt;=20,$O58="あり",$N58&lt;&gt;"昼間部の学生",OR('⓪ 事業所設定'!$C$17&gt;=DATE(2026,10,1),($S58+$T58-N($AW58))&gt;=88000)),"加入（短時間労働者）","加入対象外"))))</f>
        <v/>
      </c>
      <c r="Y58" s="23">
        <f>IF($B58="","",TRIM(IF(AND($F58&lt;&gt;"",$F58&gt;=70,ISNUMBER(SEARCH("加入（",$X58))),"厚年対象外（70歳以上被用者該当届） ","")&amp;IF(AND($F58&lt;&gt;"",$F58&gt;=75),"健保対象外（後期高齢者医療） ","")&amp;IF(AND($F58&lt;&gt;"",$F58&gt;=65,$Z58="加入"),"雇保：高年齢被保険者 ","")))</f>
        <v/>
      </c>
      <c r="Z58" s="23">
        <f>IF($B58="","",IF($H58="役員","対象外（兼務役員なら要相談）",IF(AND($L58&gt;=20,$P58="あり",$N58&lt;&gt;"昼間部の学生"),"加入","加入対象外")))</f>
        <v/>
      </c>
      <c r="AA58" s="61" t="n"/>
      <c r="AB58" s="61" t="n"/>
      <c r="AC58" s="17" t="n"/>
      <c r="AD58" s="61" t="n"/>
      <c r="AE58" s="17" t="n"/>
      <c r="AF58" s="17" t="n"/>
      <c r="AG58" s="61" t="n"/>
      <c r="AH58" s="17" t="n"/>
      <c r="AI58" s="17" t="n"/>
      <c r="AJ58" s="17" t="n"/>
      <c r="AK58" s="17" t="n"/>
      <c r="AL58" s="17" t="n"/>
      <c r="AM58" s="17" t="n"/>
      <c r="AN58" s="67" t="n"/>
      <c r="AO58" s="17" t="n"/>
      <c r="AP58" s="17" t="n"/>
      <c r="AQ58" s="17" t="n"/>
      <c r="AR58" s="17" t="n"/>
      <c r="AT58">
        <f>IF($B58="","",IF($B58="",1,0)+IF($C58="",1,0)+IF($D58="",1,0)+IF($E58="",1,0)+IF($G58="",1,0)+IF($H58="",1,0)+IF($I58="",1,0)+IF($L58="",1,0)+IF($M58="",1,0)+IF($N58="",1,0)+IF($Q58="",1,0)+IF($S58="",1,0)+IF($AA58="",1,0)+IF($AC58="",1,0)+IF($AG58="",1,0)+IF($AH58="",1,0)+IF($AI58="",1,0)+IF($AL58="",1,0)+IF($AP58="",1,0)+IF($AQ58="",1,0)+IF(AND($I58="あり",$J58=""),1,0)+IF(AND($I58="あり",$K58=""),1,0)+IF(AND($AA58="",$AB58=""),1,0)+IF(AND($AC58="あり",$AD58=""),1,0)+IF(AND($AC58="あり",OR($AD58="",$AD58="後日提出"),$AE58=""),1,0)+IF($AV58="",1,0)+IF(AND($AL58="外国",$AM58=""),1,0)+IF(AND($AL58="外国",$AN58=""),1,0)+IF(AND($AL58="外国",$AO58=""),1,0))</f>
        <v/>
      </c>
      <c r="AU58">
        <f>IF($B58="","",IF(AND($AA58&lt;&gt;"",$AA58&lt;&gt;"後日提出",$AA58&lt;&gt;"別経路提出",LEN($AA58)&lt;&gt;12),1,0)+IF(AND($AB58&lt;&gt;"",$AB58&lt;&gt;"後日提出",LEN($AB58)&lt;&gt;10),1,0)+IF(AND($AD58&lt;&gt;"",$AD58&lt;&gt;"後日提出",LEN($AD58)&lt;&gt;11),1,0)+IF(AND($AG58&lt;&gt;"",LEN(SUBSTITUTE($AG58,"-",""))&lt;&gt;7),1,0))</f>
        <v/>
      </c>
      <c r="AV58" s="17" t="n"/>
      <c r="AW58" s="59" t="n"/>
      <c r="AX58" s="17" t="n"/>
      <c r="AY58" s="17" t="n"/>
    </row>
  </sheetData>
  <mergeCells count="22">
    <mergeCell ref="F4:G4"/>
    <mergeCell ref="B3:C3"/>
    <mergeCell ref="F3:G3"/>
    <mergeCell ref="X6:Z6"/>
    <mergeCell ref="L3:M3"/>
    <mergeCell ref="AP6:AR6"/>
    <mergeCell ref="AG6:AK6"/>
    <mergeCell ref="AL6:AO6"/>
    <mergeCell ref="AV6:AX6"/>
    <mergeCell ref="I3:J3"/>
    <mergeCell ref="A1:J1"/>
    <mergeCell ref="L4:M4"/>
    <mergeCell ref="D4:E4"/>
    <mergeCell ref="D3:E3"/>
    <mergeCell ref="G6:P6"/>
    <mergeCell ref="I4:J4"/>
    <mergeCell ref="B4:C4"/>
    <mergeCell ref="B5:L5"/>
    <mergeCell ref="A6:F6"/>
    <mergeCell ref="K1:AX1"/>
    <mergeCell ref="Q6:W6"/>
    <mergeCell ref="AA6:AF6"/>
  </mergeCells>
  <conditionalFormatting sqref="L4">
    <cfRule type="dataBar" priority="1">
      <dataBar showValue="1">
        <cfvo type="num" val="0"/>
        <cfvo type="num" val="1"/>
        <color rgb="0063C384"/>
      </dataBar>
    </cfRule>
  </conditionalFormatting>
  <conditionalFormatting sqref="B5">
    <cfRule type="expression" priority="2" dxfId="0" stopIfTrue="1">
      <formula>ISNUMBER(SEARCH("未入力はありません",B5))</formula>
    </cfRule>
    <cfRule type="expression" priority="3" dxfId="1" stopIfTrue="1">
      <formula>ISNUMBER(SEARCH("未入力が",B5))</formula>
    </cfRule>
  </conditionalFormatting>
  <conditionalFormatting sqref="C9:C58">
    <cfRule type="expression" priority="4" dxfId="2" stopIfTrue="1">
      <formula>AND($B9&lt;&gt;"",C9="")</formula>
    </cfRule>
    <cfRule type="expression" priority="31" dxfId="1" stopIfTrue="1">
      <formula>AND($B9&lt;&gt;"",C9&lt;&gt;"",LENB(C9)&lt;&gt;LEN(C9)*2)</formula>
    </cfRule>
    <cfRule type="expression" priority="33" dxfId="1" stopIfTrue="1">
      <formula>AND(C9&lt;&gt;"",ISERROR(FIND("　",C9)),ISERROR(FIND(" ",C9)))</formula>
    </cfRule>
  </conditionalFormatting>
  <conditionalFormatting sqref="D9:D58">
    <cfRule type="expression" priority="5" dxfId="2" stopIfTrue="1">
      <formula>AND($B9&lt;&gt;"",D9="")</formula>
    </cfRule>
  </conditionalFormatting>
  <conditionalFormatting sqref="E9:E58">
    <cfRule type="expression" priority="6" dxfId="2" stopIfTrue="1">
      <formula>AND($B9&lt;&gt;"",E9="")</formula>
    </cfRule>
    <cfRule type="expression" priority="38" dxfId="1" stopIfTrue="1">
      <formula>AND(ISNUMBER(E9),E9&gt;80000)</formula>
    </cfRule>
  </conditionalFormatting>
  <conditionalFormatting sqref="G9:G58">
    <cfRule type="expression" priority="7" dxfId="2" stopIfTrue="1">
      <formula>AND($B9&lt;&gt;"",G9="")</formula>
    </cfRule>
    <cfRule type="expression" priority="39" dxfId="1" stopIfTrue="1">
      <formula>AND(ISNUMBER(G9),G9&gt;80000)</formula>
    </cfRule>
  </conditionalFormatting>
  <conditionalFormatting sqref="H9:H58">
    <cfRule type="expression" priority="8" dxfId="2" stopIfTrue="1">
      <formula>AND($B9&lt;&gt;"",H9="")</formula>
    </cfRule>
  </conditionalFormatting>
  <conditionalFormatting sqref="I9:I58">
    <cfRule type="expression" priority="9" dxfId="2" stopIfTrue="1">
      <formula>AND($B9&lt;&gt;"",I9="")</formula>
    </cfRule>
  </conditionalFormatting>
  <conditionalFormatting sqref="L9:L58">
    <cfRule type="expression" priority="10" dxfId="2" stopIfTrue="1">
      <formula>AND($B9&lt;&gt;"",L9="")</formula>
    </cfRule>
  </conditionalFormatting>
  <conditionalFormatting sqref="M9:M58">
    <cfRule type="expression" priority="11" dxfId="2" stopIfTrue="1">
      <formula>AND($B9&lt;&gt;"",M9="")</formula>
    </cfRule>
  </conditionalFormatting>
  <conditionalFormatting sqref="N9:N58">
    <cfRule type="expression" priority="12" dxfId="2" stopIfTrue="1">
      <formula>AND($B9&lt;&gt;"",N9="")</formula>
    </cfRule>
  </conditionalFormatting>
  <conditionalFormatting sqref="Q9:Q58">
    <cfRule type="expression" priority="13" dxfId="2" stopIfTrue="1">
      <formula>AND($B9&lt;&gt;"",Q9="")</formula>
    </cfRule>
  </conditionalFormatting>
  <conditionalFormatting sqref="S9:S58">
    <cfRule type="expression" priority="14" dxfId="2" stopIfTrue="1">
      <formula>AND($B9&lt;&gt;"",S9="")</formula>
    </cfRule>
  </conditionalFormatting>
  <conditionalFormatting sqref="AA9:AA58">
    <cfRule type="expression" priority="15" dxfId="2" stopIfTrue="1">
      <formula>AND($B9&lt;&gt;"",AA9="")</formula>
    </cfRule>
    <cfRule type="expression" priority="34" dxfId="1" stopIfTrue="1">
      <formula>AND(AA9&lt;&gt;"",AA9&lt;&gt;"後日提出",AA9&lt;&gt;"別経路提出",LEN(AA9)&lt;&gt;12)</formula>
    </cfRule>
  </conditionalFormatting>
  <conditionalFormatting sqref="AC9:AC58">
    <cfRule type="expression" priority="16" dxfId="2" stopIfTrue="1">
      <formula>AND($B9&lt;&gt;"",AC9="")</formula>
    </cfRule>
  </conditionalFormatting>
  <conditionalFormatting sqref="AG9:AG58">
    <cfRule type="expression" priority="17" dxfId="2" stopIfTrue="1">
      <formula>AND($B9&lt;&gt;"",AG9="")</formula>
    </cfRule>
    <cfRule type="expression" priority="37" dxfId="1" stopIfTrue="1">
      <formula>AND(AG9&lt;&gt;"",LEN(SUBSTITUTE(AG9,"-",""))&lt;&gt;7)</formula>
    </cfRule>
  </conditionalFormatting>
  <conditionalFormatting sqref="AH9:AH58">
    <cfRule type="expression" priority="18" dxfId="2" stopIfTrue="1">
      <formula>AND($B9&lt;&gt;"",AH9="")</formula>
    </cfRule>
  </conditionalFormatting>
  <conditionalFormatting sqref="AI9:AI58">
    <cfRule type="expression" priority="19" dxfId="2" stopIfTrue="1">
      <formula>AND($B9&lt;&gt;"",AI9="")</formula>
    </cfRule>
  </conditionalFormatting>
  <conditionalFormatting sqref="AL9:AL58">
    <cfRule type="expression" priority="20" dxfId="2" stopIfTrue="1">
      <formula>AND($B9&lt;&gt;"",AL9="")</formula>
    </cfRule>
  </conditionalFormatting>
  <conditionalFormatting sqref="AP9:AP58">
    <cfRule type="expression" priority="21" dxfId="2" stopIfTrue="1">
      <formula>AND($B9&lt;&gt;"",AP9="")</formula>
    </cfRule>
  </conditionalFormatting>
  <conditionalFormatting sqref="AQ9:AQ58">
    <cfRule type="expression" priority="22" dxfId="2" stopIfTrue="1">
      <formula>AND($B9&lt;&gt;"",AQ9="")</formula>
    </cfRule>
  </conditionalFormatting>
  <conditionalFormatting sqref="B9:B58">
    <cfRule type="expression" priority="23" dxfId="2" stopIfTrue="1">
      <formula>AND($B9="",OR($E9&lt;&gt;"",$D9&lt;&gt;"",$G9&lt;&gt;"",$AA9&lt;&gt;""))</formula>
    </cfRule>
    <cfRule type="expression" priority="32" dxfId="1" stopIfTrue="1">
      <formula>AND(B9&lt;&gt;"",ISERROR(FIND("　",B9)),ISERROR(FIND(" ",B9)))</formula>
    </cfRule>
  </conditionalFormatting>
  <conditionalFormatting sqref="J8:J58">
    <cfRule type="expression" priority="24" dxfId="3" stopIfTrue="1">
      <formula>$I8="なし"</formula>
    </cfRule>
  </conditionalFormatting>
  <conditionalFormatting sqref="J9:J58">
    <cfRule type="expression" priority="25" dxfId="2" stopIfTrue="1">
      <formula>AND($I9="あり",J9="")</formula>
    </cfRule>
    <cfRule type="expression" priority="40" dxfId="1" stopIfTrue="1">
      <formula>AND(ISNUMBER(J9),J9&gt;80000)</formula>
    </cfRule>
  </conditionalFormatting>
  <conditionalFormatting sqref="K8:K58">
    <cfRule type="expression" priority="26" dxfId="3" stopIfTrue="1">
      <formula>$I8="なし"</formula>
    </cfRule>
  </conditionalFormatting>
  <conditionalFormatting sqref="K9:K58">
    <cfRule type="expression" priority="27" dxfId="2" stopIfTrue="1">
      <formula>AND($I9="あり",K9="")</formula>
    </cfRule>
  </conditionalFormatting>
  <conditionalFormatting sqref="AB9:AB58">
    <cfRule type="expression" priority="28" dxfId="2" stopIfTrue="1">
      <formula>AND($B9&lt;&gt;"",$AA9="",AB9="")</formula>
    </cfRule>
    <cfRule type="expression" priority="35" dxfId="1" stopIfTrue="1">
      <formula>AND(AB9&lt;&gt;"",AB9&lt;&gt;"後日提出",LEN(AB9)&lt;&gt;10)</formula>
    </cfRule>
  </conditionalFormatting>
  <conditionalFormatting sqref="AD9:AD58">
    <cfRule type="expression" priority="29" dxfId="2" stopIfTrue="1">
      <formula>AND($AC9="あり",AD9="")</formula>
    </cfRule>
    <cfRule type="expression" priority="36" dxfId="1" stopIfTrue="1">
      <formula>AND(AD9&lt;&gt;"",AD9&lt;&gt;"後日提出",LEN(AD9)&lt;&gt;11)</formula>
    </cfRule>
  </conditionalFormatting>
  <conditionalFormatting sqref="AE9:AE58">
    <cfRule type="expression" priority="30" dxfId="2" stopIfTrue="1">
      <formula>AND($AC9="あり",OR($AD9="",$AD9="後日提出"),AE9="")</formula>
    </cfRule>
  </conditionalFormatting>
  <conditionalFormatting sqref="AN9:AN58">
    <cfRule type="expression" priority="41" dxfId="1" stopIfTrue="1">
      <formula>AND(ISNUMBER(AN9),AN9&gt;80000)</formula>
    </cfRule>
    <cfRule type="expression" priority="50" dxfId="2" stopIfTrue="1">
      <formula>AND($AL9="外国",AN9="")</formula>
    </cfRule>
  </conditionalFormatting>
  <conditionalFormatting sqref="X8:X58">
    <cfRule type="expression" priority="42" dxfId="0" stopIfTrue="1">
      <formula>AND(ISNUMBER(SEARCH("加入",X8)),ISERROR(SEARCH("対象外",X8)))</formula>
    </cfRule>
    <cfRule type="expression" priority="43" dxfId="4" stopIfTrue="1">
      <formula>ISNUMBER(SEARCH("対象外",X8))</formula>
    </cfRule>
  </conditionalFormatting>
  <conditionalFormatting sqref="Z8:Z58">
    <cfRule type="expression" priority="44" dxfId="0" stopIfTrue="1">
      <formula>AND(ISNUMBER(SEARCH("加入",Z8)),ISERROR(SEARCH("対象外",Z8)))</formula>
    </cfRule>
    <cfRule type="expression" priority="45" dxfId="4" stopIfTrue="1">
      <formula>ISNUMBER(SEARCH("対象外",Z8))</formula>
    </cfRule>
  </conditionalFormatting>
  <conditionalFormatting sqref="Y8:Y58">
    <cfRule type="expression" priority="46" dxfId="1" stopIfTrue="1">
      <formula>Y8&lt;&gt;""</formula>
    </cfRule>
    <cfRule type="expression" priority="47" dxfId="3" stopIfTrue="1">
      <formula>AND($B8&lt;&gt;"",Y8="")</formula>
    </cfRule>
  </conditionalFormatting>
  <conditionalFormatting sqref="AV9:AV58">
    <cfRule type="expression" priority="48" dxfId="2" stopIfTrue="1">
      <formula>AND($B9&lt;&gt;"",AV9="")</formula>
    </cfRule>
  </conditionalFormatting>
  <conditionalFormatting sqref="AM9:AM58">
    <cfRule type="expression" priority="49" dxfId="2" stopIfTrue="1">
      <formula>AND($AL9="外国",AM9="")</formula>
    </cfRule>
  </conditionalFormatting>
  <conditionalFormatting sqref="AO9:AO58">
    <cfRule type="expression" priority="51" dxfId="2" stopIfTrue="1">
      <formula>AND($AL9="外国",AO9="")</formula>
    </cfRule>
  </conditionalFormatting>
  <conditionalFormatting sqref="AY9:AY58">
    <cfRule type="expression" priority="52" dxfId="2" stopIfTrue="1">
      <formula>AND($V9&lt;&gt;"",$V9&lt;&gt;0,AY9="")</formula>
    </cfRule>
  </conditionalFormatting>
  <dataValidations count="31">
    <dataValidation sqref="D8:D58" showDropDown="0" showInputMessage="1" showErrorMessage="1" allowBlank="1" errorTitle="入力エラー" error="一覧から選択してください。" type="list" errorStyle="stop">
      <formula1>m_性別</formula1>
    </dataValidation>
    <dataValidation sqref="E8:E58" showDropDown="0" showInputMessage="1" showErrorMessage="1" allowBlank="1" errorTitle="入力エラー" error="日付（例 1960/4/1）か、スラッシュ無しの8桁（19600401）で入力してください。" promptTitle="入力のヒント" prompt="西暦の生年月日。例 1990/4/1。スラッシュ無し（19900401）でも入力でき、後で日付に整えます。" type="whole" errorStyle="warning" operator="between">
      <formula1>1</formula1>
      <formula2>99999999</formula2>
    </dataValidation>
    <dataValidation sqref="G8:G58" showDropDown="0" showInputMessage="1" showErrorMessage="1" allowBlank="1" errorTitle="入力エラー" error="日付（例 1960/4/1）か、スラッシュ無しの8桁（19600401）で入力してください。" promptTitle="入力のヒント" prompt="資格取得日＝入社日。例 2026/7/1。スラッシュ無し（20260701）でも入力できます。" type="whole" errorStyle="warning" operator="between">
      <formula1>1</formula1>
      <formula2>99999999</formula2>
    </dataValidation>
    <dataValidation sqref="H8:H58" showDropDown="0" showInputMessage="1" showErrorMessage="1" allowBlank="1" errorTitle="入力エラー" error="一覧から選択してください。" type="list" errorStyle="stop">
      <formula1>m_雇用形態</formula1>
    </dataValidation>
    <dataValidation sqref="I8:I58" showDropDown="0" showInputMessage="1" showErrorMessage="1" allowBlank="1" errorTitle="入力エラー" error="一覧から選択してください。" promptTitle="入力のヒント" prompt="無期なら「なし」、有期なら「あり」。「あり」のときは右の契約満了日・更新の見込みもご記入ください。「なし」のときは契約満了日・更新の見込みは対象外（斜線）になります。" type="list" errorStyle="stop">
      <formula1>m_なしあり</formula1>
    </dataValidation>
    <dataValidation sqref="J8:J58" showDropDown="0" showInputMessage="1" showErrorMessage="1" allowBlank="1" errorTitle="入力エラー" error="日付（例 1960/4/1）か、スラッシュ無しの8桁（19600401）で入力してください。" promptTitle="入力のヒント" prompt="雇用期間の定め＝あり のときに記入。例 2027/3/31。スラッシュ無しでも可。" type="whole" errorStyle="warning" operator="between">
      <formula1>1</formula1>
      <formula2>99999999</formula2>
    </dataValidation>
    <dataValidation sqref="K8:K58" showDropDown="0" showInputMessage="1" showErrorMessage="1" allowBlank="1" errorTitle="入力エラー" error="一覧から選択してください。" promptTitle="入力のヒント" prompt="有期契約のとき記入。更新の可能性があると、社保・雇保の加入見込み（右の自動判定）が『あり』になります。" type="list" errorStyle="stop">
      <formula1>m_更新見込み</formula1>
    </dataValidation>
    <dataValidation sqref="L8:L58" showDropDown="0" showInputMessage="1" showErrorMessage="1" allowBlank="1" errorTitle="入力エラー" error="0〜80 の数値で入力してください。" promptTitle="入力のヒント" prompt="1週間の所定労働時間（残業を含まない契約上の時間）。0〜80h。" type="decimal" errorStyle="stop" operator="between">
      <formula1>0</formula1>
      <formula2>80</formula2>
    </dataValidation>
    <dataValidation sqref="M8:M58" showDropDown="0" showInputMessage="1" showErrorMessage="1" allowBlank="1" errorTitle="入力エラー" error="0〜31 の数値で入力してください。" promptTitle="入力のヒント" prompt="1か月の所定労働日数。0〜31日。" type="decimal" errorStyle="stop" operator="between">
      <formula1>0</formula1>
      <formula2>31</formula2>
    </dataValidation>
    <dataValidation sqref="N8:N58" showDropDown="0" showInputMessage="1" showErrorMessage="1" allowBlank="1" errorTitle="入力エラー" error="一覧から選択してください。" promptTitle="入力のヒント" prompt="「夜間・定時制・通信制」は学生として扱いません（適用対象）。「昼間部の学生」のみ適用除外になります。" type="list" errorStyle="stop">
      <formula1>m_学生区分</formula1>
    </dataValidation>
    <dataValidation sqref="Q8:Q58" showDropDown="0" showInputMessage="1" showErrorMessage="1" allowBlank="1" errorTitle="入力エラー" error="一覧から選択してください。" promptTitle="入力のヒント" prompt="賃金の支払形態。月給／日給／時給／年俸など。雇用保険 資格取得届の『賃金（支払の態様）』に対応します。" type="list" errorStyle="stop">
      <formula1>m_賃金形態</formula1>
    </dataValidation>
    <dataValidation sqref="R8:R58" showDropDown="0" showInputMessage="1" showErrorMessage="1" allowBlank="1" errorTitle="入力エラー" error="0以上の整数（円）で入力してください。" promptTitle="入力のヒント" prompt="日給・時給の方のみ、その単価（円）をご記入ください。月給・年俸の方は空欄で可。" type="whole" errorStyle="stop" operator="between">
      <formula1>0</formula1>
      <formula2>100000000</formula2>
    </dataValidation>
    <dataValidation sqref="S8:S58" showDropDown="0" showInputMessage="1" showErrorMessage="1" allowBlank="1" errorTitle="入力エラー" error="0以上の整数（円）で入力してください。" promptTitle="入力のヒント" prompt="月給・年俸の方は基本給（月額・円）。日給・時給の方は『月額の見込み額（単価×所定日数または時間）』をご記入ください（社保の報酬月額の基礎になります）。" type="whole" errorStyle="stop" operator="between">
      <formula1>0</formula1>
      <formula2>100000000</formula2>
    </dataValidation>
    <dataValidation sqref="T8:T58" showDropDown="0" showInputMessage="1" showErrorMessage="1" allowBlank="1" errorTitle="入力エラー" error="0以上の整数（円）で入力してください。" type="whole" errorStyle="stop" operator="between">
      <formula1>0</formula1>
      <formula2>100000000</formula2>
    </dataValidation>
    <dataValidation sqref="U8:U58" showDropDown="0" showInputMessage="1" showErrorMessage="1" allowBlank="1" errorTitle="入力エラー" error="0以上の整数（円）で入力してください。" type="whole" errorStyle="stop" operator="between">
      <formula1>0</formula1>
      <formula2>100000000</formula2>
    </dataValidation>
    <dataValidation sqref="V8:V58" showDropDown="0" showInputMessage="1" showErrorMessage="1" allowBlank="1" errorTitle="入力エラー" error="0以上の整数（円）で入力してください。" promptTitle="入力のヒント" prompt="社宅・寮・食事など現物で支給するものの月額相当額（円）。無ければ空欄。社会保険の報酬月額に算入します。" type="whole" errorStyle="stop" operator="between">
      <formula1>0</formula1>
      <formula2>100000000</formula2>
    </dataValidation>
    <dataValidation sqref="AA8:AA58" showDropDown="0" showInputMessage="1" showErrorMessage="0" allowBlank="1" promptTitle="入力のヒント" prompt="12桁の数字。ハイフン無し。会社所定の安全な経路で別提出する場合は、ドロップダウンから『別経路提出』を選んでください。入社時点で未回収なら『後日提出』を選択します。" type="list">
      <formula1>m_番号提出状態</formula1>
    </dataValidation>
    <dataValidation sqref="AB8:AB58" showDropDown="0" showInputMessage="1" showErrorMessage="0" allowBlank="1" promptTitle="入力のヒント" prompt="基礎年金番号10桁（年金手帳・基礎年金番号通知書に記載）。マイナンバーを記入した方は省略できます。入社時点で不明なときは、ドロップダウンから『後日提出』を選べば未入力扱いになりません（分かり次第ご連絡を）。" type="list">
      <formula1>m_後日提出</formula1>
    </dataValidation>
    <dataValidation sqref="AC8:AC58" showDropDown="0" showInputMessage="1" showErrorMessage="1" allowBlank="1" errorTitle="入力エラー" error="一覧から選択してください。" promptTitle="入力のヒント" prompt="前職で雇用保険に加入していたか。『あり』のときは右の被保険者番号もご記入ください（不明なら『後日提出』＋前職情報）。" type="list" errorStyle="stop">
      <formula1>m_前職雇保</formula1>
    </dataValidation>
    <dataValidation sqref="AD8:AD58" showDropDown="0" showInputMessage="1" showErrorMessage="0" allowBlank="1" promptTitle="入力のヒント" prompt="雇用保険被保険者番号11桁（前職の被保険者証・離職票に記載）。前職が無い・初めて就職する方は空欄で構いません（新規取得します）。前職はあるが番号が不明なときは『後日提出』を選択。" type="list">
      <formula1>m_後日提出</formula1>
    </dataValidation>
    <dataValidation sqref="AF8:AF58" showDropDown="0" showInputMessage="1" showErrorMessage="1" allowBlank="1" errorTitle="入力エラー" error="日付（例 1960/4/1）か、スラッシュ無しの8桁（19600401）で入力してください。" promptTitle="入力のヒント" prompt="前職の退職年月日（番号照会の手がかり）。分かる範囲で。1960/4/1 でも 19600401 でも入力できます。" type="whole" errorStyle="warning" operator="between">
      <formula1>1</formula1>
      <formula2>99999999</formula2>
    </dataValidation>
    <dataValidation sqref="AG8:AG58" showDropDown="0" showInputMessage="1" showErrorMessage="1" allowBlank="1" errorTitle="入力エラー" error="桁数を確認してください。" promptTitle="入力のヒント" prompt="ハイフン有無どちらでも可（例 100-0001 / 1000001）。" type="textLength" errorStyle="warning" operator="between">
      <formula1>7</formula1>
      <formula2>8</formula2>
    </dataValidation>
    <dataValidation sqref="AH8:AH58" showDropDown="0" showInputMessage="1" showErrorMessage="1" allowBlank="1" errorTitle="入力エラー" error="一覧から選択してください。" type="list" errorStyle="stop">
      <formula1>m_都道府県</formula1>
    </dataValidation>
    <dataValidation sqref="AL8:AL58" showDropDown="0" showInputMessage="1" showErrorMessage="1" allowBlank="1" errorTitle="入力エラー" error="一覧から選択してください。" promptTitle="入力のヒント" prompt="「外国」を選んだ方は、在留資格・在留期間満了日・ローマ字氏名もご記入ください。" type="list" errorStyle="stop">
      <formula1>m_国籍</formula1>
    </dataValidation>
    <dataValidation sqref="AN8:AN58" showDropDown="0" showInputMessage="1" showErrorMessage="1" allowBlank="1" errorTitle="入力エラー" error="日付（例 1960/4/1）か、スラッシュ無しの8桁（19600401）で入力してください。" promptTitle="入力のヒント" prompt="西暦の日付。1960/4/1 でも 19600401 でも入力できます（無しは後で日付に整えます）。" type="whole" errorStyle="warning" operator="between">
      <formula1>1</formula1>
      <formula2>99999999</formula2>
    </dataValidation>
    <dataValidation sqref="AP8:AP58" showDropDown="0" showInputMessage="1" showErrorMessage="1" allowBlank="1" errorTitle="入力エラー" error="一覧から選択してください。" promptTitle="入力のヒント" prompt="マイナ保険証の利用登録が未済の方は「要」。登録済みなら「否」。不明な場合は「不明」。" type="list" errorStyle="stop">
      <formula1>m_資格確認書</formula1>
    </dataValidation>
    <dataValidation sqref="AQ8:AQ58" showDropDown="0" showInputMessage="1" showErrorMessage="1" allowBlank="1" errorTitle="入力エラー" error="一覧から選択してください。" promptTitle="入力のヒント" prompt="「あり」を選んだ方は、シート②被扶養者情報も併せてご記入ください。" type="list" errorStyle="stop">
      <formula1>m_ありなし</formula1>
    </dataValidation>
    <dataValidation sqref="AV8:AV58" showDropDown="0" showInputMessage="1" showErrorMessage="1" allowBlank="1" errorTitle="入力エラー" error="一覧から選択してください。" promptTitle="入力のヒント" prompt="雇用保険 資格取得届の職種欄に対応します。近いものを選んでください。分からないときは『分からない』で構いません。〔区分名は提出前に現行様式で照合します〕" type="list" errorStyle="stop">
      <formula1>m_職種</formula1>
    </dataValidation>
    <dataValidation sqref="AW8:AW58" showDropDown="0" showInputMessage="1" showErrorMessage="1" allowBlank="1" errorTitle="入力エラー" error="0以上の整数（円）で入力してください。" promptTitle="入力のヒント" prompt="左の『固定手当』に含めた家族手当・精皆勤手当の月額（円）。8.8万円要件（短時間労働者の賃金要件）の判定から差し引きます。無ければ空欄で構いません（0として扱います）。" type="whole" errorStyle="warning" operator="between">
      <formula1>0</formula1>
      <formula2>100000000</formula2>
    </dataValidation>
    <dataValidation sqref="AX8:AX58" showDropDown="0" showInputMessage="1" showErrorMessage="1" allowBlank="1" errorTitle="入力エラー" error="一覧から選択してください。" promptTitle="入力のヒント" prompt="他社でも社会保険（健康保険・厚生年金）に加入していますか。『はい』のときは二以上事業所勤務届が別途必要になります（当事務所からご案内します）。" type="list" errorStyle="stop">
      <formula1>"いいえ,はい,分からない"</formula1>
    </dataValidation>
    <dataValidation sqref="AY9:AY58" showDropDown="0" showInputMessage="1" showErrorMessage="0" allowBlank="1" promptTitle="現物給与の種類" prompt="V列に金額を入れたときはご記入ください。社宅・食事・定期券など。複数あればその他を選び、備考に内訳を。" type="list">
      <formula1>=m_現物給与種類</formula1>
    </dataValidation>
  </dataValidations>
  <printOptions horizontalCentered="0"/>
  <pageMargins left="0.75" right="0.75" top="1" bottom="1" header="0.5" footer="0.5"/>
  <pageSetup orientation="landscape" paperSize="9"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P67"/>
  <sheetViews>
    <sheetView showGridLines="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8" customWidth="1" min="2" max="2"/>
    <col width="18" customWidth="1" min="3" max="3"/>
    <col width="12" customWidth="1" min="4" max="4"/>
    <col width="15" customWidth="1" min="5" max="5"/>
    <col width="9" customWidth="1" min="6" max="6"/>
    <col width="17" customWidth="1" min="7" max="7"/>
    <col width="12" customWidth="1" min="8" max="8"/>
    <col width="15" customWidth="1" min="9" max="9"/>
    <col width="16" customWidth="1" min="10" max="10"/>
    <col width="16" customWidth="1" min="11" max="11"/>
    <col width="15" customWidth="1" min="12" max="12"/>
    <col width="24" customWidth="1" min="13" max="13"/>
    <col hidden="1" width="13" customWidth="1" min="14" max="14"/>
    <col hidden="1" width="13" customWidth="1" min="15" max="15"/>
    <col width="30" customWidth="1" min="16" max="16"/>
  </cols>
  <sheetData>
    <row r="1" ht="24" customHeight="1">
      <c r="A1" s="14" t="inlineStr">
        <is>
          <t>② 被扶養者情報</t>
        </is>
      </c>
    </row>
    <row r="2">
      <c r="A2" s="40" t="n"/>
      <c r="B2" s="40" t="n"/>
      <c r="C2" s="40" t="n"/>
      <c r="D2" s="40" t="n"/>
      <c r="E2" s="40" t="n"/>
      <c r="F2" s="40" t="n"/>
      <c r="G2" s="40" t="n"/>
      <c r="H2" s="40" t="n"/>
      <c r="I2" s="40" t="n"/>
    </row>
    <row r="3" ht="19" customHeight="1">
      <c r="A3" s="41" t="inlineStr">
        <is>
          <t>入力対象人数</t>
        </is>
      </c>
      <c r="C3" s="41" t="inlineStr">
        <is>
          <t>必須充足人数</t>
        </is>
      </c>
      <c r="E3" s="41" t="inlineStr">
        <is>
          <t>必須未入力 残件数</t>
        </is>
      </c>
      <c r="G3" s="41" t="inlineStr">
        <is>
          <t>完了率</t>
        </is>
      </c>
      <c r="I3" s="40" t="n"/>
    </row>
    <row r="4">
      <c r="A4" s="80">
        <f>COUNTA(B8:B67)</f>
        <v/>
      </c>
      <c r="B4" s="74" t="n"/>
      <c r="C4" s="80">
        <f>COUNTIF(O8:O67,0)</f>
        <v/>
      </c>
      <c r="D4" s="74" t="n"/>
      <c r="E4" s="81">
        <f>SUM(O8:O67)</f>
        <v/>
      </c>
      <c r="F4" s="74" t="n"/>
      <c r="G4" s="64">
        <f>IF(A4=0,0,C4/A4)</f>
        <v/>
      </c>
      <c r="H4" s="74" t="n"/>
      <c r="I4" s="40" t="n"/>
    </row>
    <row r="5" ht="20" customHeight="1">
      <c r="A5" s="45">
        <f>IF(A4=0,"（被扶養者がいる場合のみ入力してください）",IF(E4=0,"✓ 必須の未入力はありません","⚠ 必須の未入力が "&amp;E4&amp;" 件あります：本体の赤いセルをご確認ください"))</f>
        <v/>
      </c>
    </row>
    <row r="6" ht="49" customHeight="1">
      <c r="A6" s="6" t="inlineStr">
        <is>
          <t>対象フォーム内No.
【必】</t>
        </is>
      </c>
      <c r="B6" s="6" t="inlineStr">
        <is>
          <t>氏名（漢字）
【必】</t>
        </is>
      </c>
      <c r="C6" s="6" t="inlineStr">
        <is>
          <t>フリガナ
【必】</t>
        </is>
      </c>
      <c r="D6" s="6" t="inlineStr">
        <is>
          <t>続柄
【必】</t>
        </is>
      </c>
      <c r="E6" s="6" t="inlineStr">
        <is>
          <t>生年月日
【必】</t>
        </is>
      </c>
      <c r="F6" s="6" t="inlineStr">
        <is>
          <t>性別
【必】</t>
        </is>
      </c>
      <c r="G6" s="6" t="inlineStr">
        <is>
          <t>マイナンバー(12桁)
【必】</t>
        </is>
      </c>
      <c r="H6" s="6" t="inlineStr">
        <is>
          <t>同居・別居
【必】</t>
        </is>
      </c>
      <c r="I6" s="6" t="inlineStr">
        <is>
          <t>年間収入見込（円）
※万円ではありません
【必】</t>
        </is>
      </c>
      <c r="J6" s="7" t="inlineStr">
        <is>
          <t>職業
【任】</t>
        </is>
      </c>
      <c r="K6" s="6" t="inlineStr">
        <is>
          <t>被扶養者になった日
【必】</t>
        </is>
      </c>
      <c r="L6" s="7" t="inlineStr">
        <is>
          <t>国民年金 第3号該当
【任】</t>
        </is>
      </c>
      <c r="M6" s="7" t="inlineStr">
        <is>
          <t>備考
【任】</t>
        </is>
      </c>
      <c r="P6" s="7" t="inlineStr">
        <is>
          <t>ご住所（別居のとき）
【条件必須】別居のとき</t>
        </is>
      </c>
    </row>
    <row r="7" ht="37" customHeight="1">
      <c r="A7" s="54" t="n">
        <v>1</v>
      </c>
      <c r="B7" s="54" t="inlineStr">
        <is>
          <t>山田 花子</t>
        </is>
      </c>
      <c r="C7" s="54" t="inlineStr">
        <is>
          <t>ヤマダ ハナコ</t>
        </is>
      </c>
      <c r="D7" s="54" t="inlineStr">
        <is>
          <t>配偶者</t>
        </is>
      </c>
      <c r="E7" s="77" t="n">
        <v>33826</v>
      </c>
      <c r="F7" s="54" t="inlineStr">
        <is>
          <t>女</t>
        </is>
      </c>
      <c r="G7" s="57" t="inlineStr">
        <is>
          <t>210987654321</t>
        </is>
      </c>
      <c r="H7" s="54" t="inlineStr">
        <is>
          <t>同居</t>
        </is>
      </c>
      <c r="I7" s="78" t="n">
        <v>1030000</v>
      </c>
      <c r="J7" s="54" t="inlineStr">
        <is>
          <t>パート勤務</t>
        </is>
      </c>
      <c r="K7" s="77" t="n">
        <v>46204</v>
      </c>
      <c r="L7" s="54" t="inlineStr">
        <is>
          <t>該当</t>
        </is>
      </c>
      <c r="M7" s="54" t="inlineStr">
        <is>
          <t>← この行は記入例です。8行目からご記入ください（消しても構いません）</t>
        </is>
      </c>
      <c r="P7" s="54" t="inlineStr">
        <is>
          <t>（同居のため記入不要）</t>
        </is>
      </c>
    </row>
    <row r="8">
      <c r="A8" s="17" t="n"/>
      <c r="B8" s="17" t="n"/>
      <c r="C8" s="17" t="n"/>
      <c r="D8" s="17" t="n"/>
      <c r="E8" s="67" t="n"/>
      <c r="F8" s="17" t="n"/>
      <c r="G8" s="61" t="n"/>
      <c r="H8" s="17" t="n"/>
      <c r="I8" s="59" t="n"/>
      <c r="J8" s="17" t="n"/>
      <c r="K8" s="67" t="n"/>
      <c r="L8" s="17" t="n"/>
      <c r="M8" s="17" t="n"/>
      <c r="O8">
        <f>IF($B8="","",IF($A8="",1,0)+IF($B8="",1,0)+IF($C8="",1,0)+IF($D8="",1,0)+IF($E8="",1,0)+IF($F8="",1,0)+IF($G8="",1,0)+IF($H8="",1,0)+IF($I8="",1,0)+IF($K8="",1,0)+IF(AND($H8="別居",$P8=""),1,0))</f>
        <v/>
      </c>
      <c r="P8" s="17" t="n"/>
    </row>
    <row r="9">
      <c r="A9" s="17" t="n"/>
      <c r="B9" s="17" t="n"/>
      <c r="C9" s="17" t="n"/>
      <c r="D9" s="17" t="n"/>
      <c r="E9" s="67" t="n"/>
      <c r="F9" s="17" t="n"/>
      <c r="G9" s="61" t="n"/>
      <c r="H9" s="17" t="n"/>
      <c r="I9" s="59" t="n"/>
      <c r="J9" s="17" t="n"/>
      <c r="K9" s="67" t="n"/>
      <c r="L9" s="17" t="n"/>
      <c r="M9" s="17" t="n"/>
      <c r="O9">
        <f>IF($B9="","",IF($A9="",1,0)+IF($B9="",1,0)+IF($C9="",1,0)+IF($D9="",1,0)+IF($E9="",1,0)+IF($F9="",1,0)+IF($G9="",1,0)+IF($H9="",1,0)+IF($I9="",1,0)+IF($K9="",1,0)+IF(AND($H9="別居",$P9=""),1,0))</f>
        <v/>
      </c>
      <c r="P9" s="17" t="n"/>
    </row>
    <row r="10">
      <c r="A10" s="17" t="n"/>
      <c r="B10" s="17" t="n"/>
      <c r="C10" s="17" t="n"/>
      <c r="D10" s="17" t="n"/>
      <c r="E10" s="67" t="n"/>
      <c r="F10" s="17" t="n"/>
      <c r="G10" s="61" t="n"/>
      <c r="H10" s="17" t="n"/>
      <c r="I10" s="59" t="n"/>
      <c r="J10" s="17" t="n"/>
      <c r="K10" s="67" t="n"/>
      <c r="L10" s="17" t="n"/>
      <c r="M10" s="17" t="n"/>
      <c r="O10">
        <f>IF($B10="","",IF($A10="",1,0)+IF($B10="",1,0)+IF($C10="",1,0)+IF($D10="",1,0)+IF($E10="",1,0)+IF($F10="",1,0)+IF($G10="",1,0)+IF($H10="",1,0)+IF($I10="",1,0)+IF($K10="",1,0)+IF(AND($H10="別居",$P10=""),1,0))</f>
        <v/>
      </c>
      <c r="P10" s="17" t="n"/>
    </row>
    <row r="11">
      <c r="A11" s="17" t="n"/>
      <c r="B11" s="17" t="n"/>
      <c r="C11" s="17" t="n"/>
      <c r="D11" s="17" t="n"/>
      <c r="E11" s="67" t="n"/>
      <c r="F11" s="17" t="n"/>
      <c r="G11" s="61" t="n"/>
      <c r="H11" s="17" t="n"/>
      <c r="I11" s="59" t="n"/>
      <c r="J11" s="17" t="n"/>
      <c r="K11" s="67" t="n"/>
      <c r="L11" s="17" t="n"/>
      <c r="M11" s="17" t="n"/>
      <c r="O11">
        <f>IF($B11="","",IF($A11="",1,0)+IF($B11="",1,0)+IF($C11="",1,0)+IF($D11="",1,0)+IF($E11="",1,0)+IF($F11="",1,0)+IF($G11="",1,0)+IF($H11="",1,0)+IF($I11="",1,0)+IF($K11="",1,0)+IF(AND($H11="別居",$P11=""),1,0))</f>
        <v/>
      </c>
      <c r="P11" s="17" t="n"/>
    </row>
    <row r="12">
      <c r="A12" s="17" t="n"/>
      <c r="B12" s="17" t="n"/>
      <c r="C12" s="17" t="n"/>
      <c r="D12" s="17" t="n"/>
      <c r="E12" s="67" t="n"/>
      <c r="F12" s="17" t="n"/>
      <c r="G12" s="61" t="n"/>
      <c r="H12" s="17" t="n"/>
      <c r="I12" s="59" t="n"/>
      <c r="J12" s="17" t="n"/>
      <c r="K12" s="67" t="n"/>
      <c r="L12" s="17" t="n"/>
      <c r="M12" s="17" t="n"/>
      <c r="O12">
        <f>IF($B12="","",IF($A12="",1,0)+IF($B12="",1,0)+IF($C12="",1,0)+IF($D12="",1,0)+IF($E12="",1,0)+IF($F12="",1,0)+IF($G12="",1,0)+IF($H12="",1,0)+IF($I12="",1,0)+IF($K12="",1,0)+IF(AND($H12="別居",$P12=""),1,0))</f>
        <v/>
      </c>
      <c r="P12" s="17" t="n"/>
    </row>
    <row r="13">
      <c r="A13" s="17" t="n"/>
      <c r="B13" s="17" t="n"/>
      <c r="C13" s="17" t="n"/>
      <c r="D13" s="17" t="n"/>
      <c r="E13" s="67" t="n"/>
      <c r="F13" s="17" t="n"/>
      <c r="G13" s="61" t="n"/>
      <c r="H13" s="17" t="n"/>
      <c r="I13" s="59" t="n"/>
      <c r="J13" s="17" t="n"/>
      <c r="K13" s="67" t="n"/>
      <c r="L13" s="17" t="n"/>
      <c r="M13" s="17" t="n"/>
      <c r="O13">
        <f>IF($B13="","",IF($A13="",1,0)+IF($B13="",1,0)+IF($C13="",1,0)+IF($D13="",1,0)+IF($E13="",1,0)+IF($F13="",1,0)+IF($G13="",1,0)+IF($H13="",1,0)+IF($I13="",1,0)+IF($K13="",1,0)+IF(AND($H13="別居",$P13=""),1,0))</f>
        <v/>
      </c>
      <c r="P13" s="17" t="n"/>
    </row>
    <row r="14">
      <c r="A14" s="17" t="n"/>
      <c r="B14" s="17" t="n"/>
      <c r="C14" s="17" t="n"/>
      <c r="D14" s="17" t="n"/>
      <c r="E14" s="67" t="n"/>
      <c r="F14" s="17" t="n"/>
      <c r="G14" s="61" t="n"/>
      <c r="H14" s="17" t="n"/>
      <c r="I14" s="59" t="n"/>
      <c r="J14" s="17" t="n"/>
      <c r="K14" s="67" t="n"/>
      <c r="L14" s="17" t="n"/>
      <c r="M14" s="17" t="n"/>
      <c r="O14">
        <f>IF($B14="","",IF($A14="",1,0)+IF($B14="",1,0)+IF($C14="",1,0)+IF($D14="",1,0)+IF($E14="",1,0)+IF($F14="",1,0)+IF($G14="",1,0)+IF($H14="",1,0)+IF($I14="",1,0)+IF($K14="",1,0)+IF(AND($H14="別居",$P14=""),1,0))</f>
        <v/>
      </c>
      <c r="P14" s="17" t="n"/>
    </row>
    <row r="15">
      <c r="A15" s="17" t="n"/>
      <c r="B15" s="17" t="n"/>
      <c r="C15" s="17" t="n"/>
      <c r="D15" s="17" t="n"/>
      <c r="E15" s="67" t="n"/>
      <c r="F15" s="17" t="n"/>
      <c r="G15" s="61" t="n"/>
      <c r="H15" s="17" t="n"/>
      <c r="I15" s="59" t="n"/>
      <c r="J15" s="17" t="n"/>
      <c r="K15" s="67" t="n"/>
      <c r="L15" s="17" t="n"/>
      <c r="M15" s="17" t="n"/>
      <c r="O15">
        <f>IF($B15="","",IF($A15="",1,0)+IF($B15="",1,0)+IF($C15="",1,0)+IF($D15="",1,0)+IF($E15="",1,0)+IF($F15="",1,0)+IF($G15="",1,0)+IF($H15="",1,0)+IF($I15="",1,0)+IF($K15="",1,0)+IF(AND($H15="別居",$P15=""),1,0))</f>
        <v/>
      </c>
      <c r="P15" s="17" t="n"/>
    </row>
    <row r="16">
      <c r="A16" s="17" t="n"/>
      <c r="B16" s="17" t="n"/>
      <c r="C16" s="17" t="n"/>
      <c r="D16" s="17" t="n"/>
      <c r="E16" s="67" t="n"/>
      <c r="F16" s="17" t="n"/>
      <c r="G16" s="61" t="n"/>
      <c r="H16" s="17" t="n"/>
      <c r="I16" s="59" t="n"/>
      <c r="J16" s="17" t="n"/>
      <c r="K16" s="67" t="n"/>
      <c r="L16" s="17" t="n"/>
      <c r="M16" s="17" t="n"/>
      <c r="O16">
        <f>IF($B16="","",IF($A16="",1,0)+IF($B16="",1,0)+IF($C16="",1,0)+IF($D16="",1,0)+IF($E16="",1,0)+IF($F16="",1,0)+IF($G16="",1,0)+IF($H16="",1,0)+IF($I16="",1,0)+IF($K16="",1,0)+IF(AND($H16="別居",$P16=""),1,0))</f>
        <v/>
      </c>
      <c r="P16" s="17" t="n"/>
    </row>
    <row r="17">
      <c r="A17" s="17" t="n"/>
      <c r="B17" s="17" t="n"/>
      <c r="C17" s="17" t="n"/>
      <c r="D17" s="17" t="n"/>
      <c r="E17" s="67" t="n"/>
      <c r="F17" s="17" t="n"/>
      <c r="G17" s="61" t="n"/>
      <c r="H17" s="17" t="n"/>
      <c r="I17" s="59" t="n"/>
      <c r="J17" s="17" t="n"/>
      <c r="K17" s="67" t="n"/>
      <c r="L17" s="17" t="n"/>
      <c r="M17" s="17" t="n"/>
      <c r="O17">
        <f>IF($B17="","",IF($A17="",1,0)+IF($B17="",1,0)+IF($C17="",1,0)+IF($D17="",1,0)+IF($E17="",1,0)+IF($F17="",1,0)+IF($G17="",1,0)+IF($H17="",1,0)+IF($I17="",1,0)+IF($K17="",1,0)+IF(AND($H17="別居",$P17=""),1,0))</f>
        <v/>
      </c>
      <c r="P17" s="17" t="n"/>
    </row>
    <row r="18">
      <c r="A18" s="17" t="n"/>
      <c r="B18" s="17" t="n"/>
      <c r="C18" s="17" t="n"/>
      <c r="D18" s="17" t="n"/>
      <c r="E18" s="67" t="n"/>
      <c r="F18" s="17" t="n"/>
      <c r="G18" s="61" t="n"/>
      <c r="H18" s="17" t="n"/>
      <c r="I18" s="59" t="n"/>
      <c r="J18" s="17" t="n"/>
      <c r="K18" s="67" t="n"/>
      <c r="L18" s="17" t="n"/>
      <c r="M18" s="17" t="n"/>
      <c r="O18">
        <f>IF($B18="","",IF($A18="",1,0)+IF($B18="",1,0)+IF($C18="",1,0)+IF($D18="",1,0)+IF($E18="",1,0)+IF($F18="",1,0)+IF($G18="",1,0)+IF($H18="",1,0)+IF($I18="",1,0)+IF($K18="",1,0)+IF(AND($H18="別居",$P18=""),1,0))</f>
        <v/>
      </c>
      <c r="P18" s="17" t="n"/>
    </row>
    <row r="19">
      <c r="A19" s="17" t="n"/>
      <c r="B19" s="17" t="n"/>
      <c r="C19" s="17" t="n"/>
      <c r="D19" s="17" t="n"/>
      <c r="E19" s="67" t="n"/>
      <c r="F19" s="17" t="n"/>
      <c r="G19" s="61" t="n"/>
      <c r="H19" s="17" t="n"/>
      <c r="I19" s="59" t="n"/>
      <c r="J19" s="17" t="n"/>
      <c r="K19" s="67" t="n"/>
      <c r="L19" s="17" t="n"/>
      <c r="M19" s="17" t="n"/>
      <c r="O19">
        <f>IF($B19="","",IF($A19="",1,0)+IF($B19="",1,0)+IF($C19="",1,0)+IF($D19="",1,0)+IF($E19="",1,0)+IF($F19="",1,0)+IF($G19="",1,0)+IF($H19="",1,0)+IF($I19="",1,0)+IF($K19="",1,0)+IF(AND($H19="別居",$P19=""),1,0))</f>
        <v/>
      </c>
      <c r="P19" s="17" t="n"/>
    </row>
    <row r="20">
      <c r="A20" s="17" t="n"/>
      <c r="B20" s="17" t="n"/>
      <c r="C20" s="17" t="n"/>
      <c r="D20" s="17" t="n"/>
      <c r="E20" s="67" t="n"/>
      <c r="F20" s="17" t="n"/>
      <c r="G20" s="61" t="n"/>
      <c r="H20" s="17" t="n"/>
      <c r="I20" s="59" t="n"/>
      <c r="J20" s="17" t="n"/>
      <c r="K20" s="67" t="n"/>
      <c r="L20" s="17" t="n"/>
      <c r="M20" s="17" t="n"/>
      <c r="O20">
        <f>IF($B20="","",IF($A20="",1,0)+IF($B20="",1,0)+IF($C20="",1,0)+IF($D20="",1,0)+IF($E20="",1,0)+IF($F20="",1,0)+IF($G20="",1,0)+IF($H20="",1,0)+IF($I20="",1,0)+IF($K20="",1,0)+IF(AND($H20="別居",$P20=""),1,0))</f>
        <v/>
      </c>
      <c r="P20" s="17" t="n"/>
    </row>
    <row r="21">
      <c r="A21" s="17" t="n"/>
      <c r="B21" s="17" t="n"/>
      <c r="C21" s="17" t="n"/>
      <c r="D21" s="17" t="n"/>
      <c r="E21" s="67" t="n"/>
      <c r="F21" s="17" t="n"/>
      <c r="G21" s="61" t="n"/>
      <c r="H21" s="17" t="n"/>
      <c r="I21" s="59" t="n"/>
      <c r="J21" s="17" t="n"/>
      <c r="K21" s="67" t="n"/>
      <c r="L21" s="17" t="n"/>
      <c r="M21" s="17" t="n"/>
      <c r="O21">
        <f>IF($B21="","",IF($A21="",1,0)+IF($B21="",1,0)+IF($C21="",1,0)+IF($D21="",1,0)+IF($E21="",1,0)+IF($F21="",1,0)+IF($G21="",1,0)+IF($H21="",1,0)+IF($I21="",1,0)+IF($K21="",1,0)+IF(AND($H21="別居",$P21=""),1,0))</f>
        <v/>
      </c>
      <c r="P21" s="17" t="n"/>
    </row>
    <row r="22">
      <c r="A22" s="17" t="n"/>
      <c r="B22" s="17" t="n"/>
      <c r="C22" s="17" t="n"/>
      <c r="D22" s="17" t="n"/>
      <c r="E22" s="67" t="n"/>
      <c r="F22" s="17" t="n"/>
      <c r="G22" s="61" t="n"/>
      <c r="H22" s="17" t="n"/>
      <c r="I22" s="59" t="n"/>
      <c r="J22" s="17" t="n"/>
      <c r="K22" s="67" t="n"/>
      <c r="L22" s="17" t="n"/>
      <c r="M22" s="17" t="n"/>
      <c r="O22">
        <f>IF($B22="","",IF($A22="",1,0)+IF($B22="",1,0)+IF($C22="",1,0)+IF($D22="",1,0)+IF($E22="",1,0)+IF($F22="",1,0)+IF($G22="",1,0)+IF($H22="",1,0)+IF($I22="",1,0)+IF($K22="",1,0)+IF(AND($H22="別居",$P22=""),1,0))</f>
        <v/>
      </c>
      <c r="P22" s="17" t="n"/>
    </row>
    <row r="23">
      <c r="A23" s="17" t="n"/>
      <c r="B23" s="17" t="n"/>
      <c r="C23" s="17" t="n"/>
      <c r="D23" s="17" t="n"/>
      <c r="E23" s="67" t="n"/>
      <c r="F23" s="17" t="n"/>
      <c r="G23" s="61" t="n"/>
      <c r="H23" s="17" t="n"/>
      <c r="I23" s="59" t="n"/>
      <c r="J23" s="17" t="n"/>
      <c r="K23" s="67" t="n"/>
      <c r="L23" s="17" t="n"/>
      <c r="M23" s="17" t="n"/>
      <c r="O23">
        <f>IF($B23="","",IF($A23="",1,0)+IF($B23="",1,0)+IF($C23="",1,0)+IF($D23="",1,0)+IF($E23="",1,0)+IF($F23="",1,0)+IF($G23="",1,0)+IF($H23="",1,0)+IF($I23="",1,0)+IF($K23="",1,0)+IF(AND($H23="別居",$P23=""),1,0))</f>
        <v/>
      </c>
      <c r="P23" s="17" t="n"/>
    </row>
    <row r="24">
      <c r="A24" s="17" t="n"/>
      <c r="B24" s="17" t="n"/>
      <c r="C24" s="17" t="n"/>
      <c r="D24" s="17" t="n"/>
      <c r="E24" s="67" t="n"/>
      <c r="F24" s="17" t="n"/>
      <c r="G24" s="61" t="n"/>
      <c r="H24" s="17" t="n"/>
      <c r="I24" s="59" t="n"/>
      <c r="J24" s="17" t="n"/>
      <c r="K24" s="67" t="n"/>
      <c r="L24" s="17" t="n"/>
      <c r="M24" s="17" t="n"/>
      <c r="O24">
        <f>IF($B24="","",IF($A24="",1,0)+IF($B24="",1,0)+IF($C24="",1,0)+IF($D24="",1,0)+IF($E24="",1,0)+IF($F24="",1,0)+IF($G24="",1,0)+IF($H24="",1,0)+IF($I24="",1,0)+IF($K24="",1,0)+IF(AND($H24="別居",$P24=""),1,0))</f>
        <v/>
      </c>
      <c r="P24" s="17" t="n"/>
    </row>
    <row r="25">
      <c r="A25" s="17" t="n"/>
      <c r="B25" s="17" t="n"/>
      <c r="C25" s="17" t="n"/>
      <c r="D25" s="17" t="n"/>
      <c r="E25" s="67" t="n"/>
      <c r="F25" s="17" t="n"/>
      <c r="G25" s="61" t="n"/>
      <c r="H25" s="17" t="n"/>
      <c r="I25" s="59" t="n"/>
      <c r="J25" s="17" t="n"/>
      <c r="K25" s="67" t="n"/>
      <c r="L25" s="17" t="n"/>
      <c r="M25" s="17" t="n"/>
      <c r="O25">
        <f>IF($B25="","",IF($A25="",1,0)+IF($B25="",1,0)+IF($C25="",1,0)+IF($D25="",1,0)+IF($E25="",1,0)+IF($F25="",1,0)+IF($G25="",1,0)+IF($H25="",1,0)+IF($I25="",1,0)+IF($K25="",1,0)+IF(AND($H25="別居",$P25=""),1,0))</f>
        <v/>
      </c>
      <c r="P25" s="17" t="n"/>
    </row>
    <row r="26">
      <c r="A26" s="17" t="n"/>
      <c r="B26" s="17" t="n"/>
      <c r="C26" s="17" t="n"/>
      <c r="D26" s="17" t="n"/>
      <c r="E26" s="67" t="n"/>
      <c r="F26" s="17" t="n"/>
      <c r="G26" s="61" t="n"/>
      <c r="H26" s="17" t="n"/>
      <c r="I26" s="59" t="n"/>
      <c r="J26" s="17" t="n"/>
      <c r="K26" s="67" t="n"/>
      <c r="L26" s="17" t="n"/>
      <c r="M26" s="17" t="n"/>
      <c r="O26">
        <f>IF($B26="","",IF($A26="",1,0)+IF($B26="",1,0)+IF($C26="",1,0)+IF($D26="",1,0)+IF($E26="",1,0)+IF($F26="",1,0)+IF($G26="",1,0)+IF($H26="",1,0)+IF($I26="",1,0)+IF($K26="",1,0)+IF(AND($H26="別居",$P26=""),1,0))</f>
        <v/>
      </c>
      <c r="P26" s="17" t="n"/>
    </row>
    <row r="27">
      <c r="A27" s="17" t="n"/>
      <c r="B27" s="17" t="n"/>
      <c r="C27" s="17" t="n"/>
      <c r="D27" s="17" t="n"/>
      <c r="E27" s="67" t="n"/>
      <c r="F27" s="17" t="n"/>
      <c r="G27" s="61" t="n"/>
      <c r="H27" s="17" t="n"/>
      <c r="I27" s="59" t="n"/>
      <c r="J27" s="17" t="n"/>
      <c r="K27" s="67" t="n"/>
      <c r="L27" s="17" t="n"/>
      <c r="M27" s="17" t="n"/>
      <c r="O27">
        <f>IF($B27="","",IF($A27="",1,0)+IF($B27="",1,0)+IF($C27="",1,0)+IF($D27="",1,0)+IF($E27="",1,0)+IF($F27="",1,0)+IF($G27="",1,0)+IF($H27="",1,0)+IF($I27="",1,0)+IF($K27="",1,0)+IF(AND($H27="別居",$P27=""),1,0))</f>
        <v/>
      </c>
      <c r="P27" s="17" t="n"/>
    </row>
    <row r="28">
      <c r="A28" s="17" t="n"/>
      <c r="B28" s="17" t="n"/>
      <c r="C28" s="17" t="n"/>
      <c r="D28" s="17" t="n"/>
      <c r="E28" s="67" t="n"/>
      <c r="F28" s="17" t="n"/>
      <c r="G28" s="61" t="n"/>
      <c r="H28" s="17" t="n"/>
      <c r="I28" s="59" t="n"/>
      <c r="J28" s="17" t="n"/>
      <c r="K28" s="67" t="n"/>
      <c r="L28" s="17" t="n"/>
      <c r="M28" s="17" t="n"/>
      <c r="O28">
        <f>IF($B28="","",IF($A28="",1,0)+IF($B28="",1,0)+IF($C28="",1,0)+IF($D28="",1,0)+IF($E28="",1,0)+IF($F28="",1,0)+IF($G28="",1,0)+IF($H28="",1,0)+IF($I28="",1,0)+IF($K28="",1,0)+IF(AND($H28="別居",$P28=""),1,0))</f>
        <v/>
      </c>
      <c r="P28" s="17" t="n"/>
    </row>
    <row r="29">
      <c r="A29" s="17" t="n"/>
      <c r="B29" s="17" t="n"/>
      <c r="C29" s="17" t="n"/>
      <c r="D29" s="17" t="n"/>
      <c r="E29" s="67" t="n"/>
      <c r="F29" s="17" t="n"/>
      <c r="G29" s="61" t="n"/>
      <c r="H29" s="17" t="n"/>
      <c r="I29" s="59" t="n"/>
      <c r="J29" s="17" t="n"/>
      <c r="K29" s="67" t="n"/>
      <c r="L29" s="17" t="n"/>
      <c r="M29" s="17" t="n"/>
      <c r="O29">
        <f>IF($B29="","",IF($A29="",1,0)+IF($B29="",1,0)+IF($C29="",1,0)+IF($D29="",1,0)+IF($E29="",1,0)+IF($F29="",1,0)+IF($G29="",1,0)+IF($H29="",1,0)+IF($I29="",1,0)+IF($K29="",1,0)+IF(AND($H29="別居",$P29=""),1,0))</f>
        <v/>
      </c>
      <c r="P29" s="17" t="n"/>
    </row>
    <row r="30">
      <c r="A30" s="17" t="n"/>
      <c r="B30" s="17" t="n"/>
      <c r="C30" s="17" t="n"/>
      <c r="D30" s="17" t="n"/>
      <c r="E30" s="67" t="n"/>
      <c r="F30" s="17" t="n"/>
      <c r="G30" s="61" t="n"/>
      <c r="H30" s="17" t="n"/>
      <c r="I30" s="59" t="n"/>
      <c r="J30" s="17" t="n"/>
      <c r="K30" s="67" t="n"/>
      <c r="L30" s="17" t="n"/>
      <c r="M30" s="17" t="n"/>
      <c r="O30">
        <f>IF($B30="","",IF($A30="",1,0)+IF($B30="",1,0)+IF($C30="",1,0)+IF($D30="",1,0)+IF($E30="",1,0)+IF($F30="",1,0)+IF($G30="",1,0)+IF($H30="",1,0)+IF($I30="",1,0)+IF($K30="",1,0)+IF(AND($H30="別居",$P30=""),1,0))</f>
        <v/>
      </c>
      <c r="P30" s="17" t="n"/>
    </row>
    <row r="31">
      <c r="A31" s="17" t="n"/>
      <c r="B31" s="17" t="n"/>
      <c r="C31" s="17" t="n"/>
      <c r="D31" s="17" t="n"/>
      <c r="E31" s="67" t="n"/>
      <c r="F31" s="17" t="n"/>
      <c r="G31" s="61" t="n"/>
      <c r="H31" s="17" t="n"/>
      <c r="I31" s="59" t="n"/>
      <c r="J31" s="17" t="n"/>
      <c r="K31" s="67" t="n"/>
      <c r="L31" s="17" t="n"/>
      <c r="M31" s="17" t="n"/>
      <c r="O31">
        <f>IF($B31="","",IF($A31="",1,0)+IF($B31="",1,0)+IF($C31="",1,0)+IF($D31="",1,0)+IF($E31="",1,0)+IF($F31="",1,0)+IF($G31="",1,0)+IF($H31="",1,0)+IF($I31="",1,0)+IF($K31="",1,0)+IF(AND($H31="別居",$P31=""),1,0))</f>
        <v/>
      </c>
      <c r="P31" s="17" t="n"/>
    </row>
    <row r="32">
      <c r="A32" s="17" t="n"/>
      <c r="B32" s="17" t="n"/>
      <c r="C32" s="17" t="n"/>
      <c r="D32" s="17" t="n"/>
      <c r="E32" s="67" t="n"/>
      <c r="F32" s="17" t="n"/>
      <c r="G32" s="61" t="n"/>
      <c r="H32" s="17" t="n"/>
      <c r="I32" s="59" t="n"/>
      <c r="J32" s="17" t="n"/>
      <c r="K32" s="67" t="n"/>
      <c r="L32" s="17" t="n"/>
      <c r="M32" s="17" t="n"/>
      <c r="O32">
        <f>IF($B32="","",IF($A32="",1,0)+IF($B32="",1,0)+IF($C32="",1,0)+IF($D32="",1,0)+IF($E32="",1,0)+IF($F32="",1,0)+IF($G32="",1,0)+IF($H32="",1,0)+IF($I32="",1,0)+IF($K32="",1,0)+IF(AND($H32="別居",$P32=""),1,0))</f>
        <v/>
      </c>
      <c r="P32" s="17" t="n"/>
    </row>
    <row r="33">
      <c r="A33" s="17" t="n"/>
      <c r="B33" s="17" t="n"/>
      <c r="C33" s="17" t="n"/>
      <c r="D33" s="17" t="n"/>
      <c r="E33" s="67" t="n"/>
      <c r="F33" s="17" t="n"/>
      <c r="G33" s="61" t="n"/>
      <c r="H33" s="17" t="n"/>
      <c r="I33" s="59" t="n"/>
      <c r="J33" s="17" t="n"/>
      <c r="K33" s="67" t="n"/>
      <c r="L33" s="17" t="n"/>
      <c r="M33" s="17" t="n"/>
      <c r="O33">
        <f>IF($B33="","",IF($A33="",1,0)+IF($B33="",1,0)+IF($C33="",1,0)+IF($D33="",1,0)+IF($E33="",1,0)+IF($F33="",1,0)+IF($G33="",1,0)+IF($H33="",1,0)+IF($I33="",1,0)+IF($K33="",1,0)+IF(AND($H33="別居",$P33=""),1,0))</f>
        <v/>
      </c>
      <c r="P33" s="17" t="n"/>
    </row>
    <row r="34">
      <c r="A34" s="17" t="n"/>
      <c r="B34" s="17" t="n"/>
      <c r="C34" s="17" t="n"/>
      <c r="D34" s="17" t="n"/>
      <c r="E34" s="67" t="n"/>
      <c r="F34" s="17" t="n"/>
      <c r="G34" s="61" t="n"/>
      <c r="H34" s="17" t="n"/>
      <c r="I34" s="59" t="n"/>
      <c r="J34" s="17" t="n"/>
      <c r="K34" s="67" t="n"/>
      <c r="L34" s="17" t="n"/>
      <c r="M34" s="17" t="n"/>
      <c r="O34">
        <f>IF($B34="","",IF($A34="",1,0)+IF($B34="",1,0)+IF($C34="",1,0)+IF($D34="",1,0)+IF($E34="",1,0)+IF($F34="",1,0)+IF($G34="",1,0)+IF($H34="",1,0)+IF($I34="",1,0)+IF($K34="",1,0)+IF(AND($H34="別居",$P34=""),1,0))</f>
        <v/>
      </c>
      <c r="P34" s="17" t="n"/>
    </row>
    <row r="35">
      <c r="A35" s="17" t="n"/>
      <c r="B35" s="17" t="n"/>
      <c r="C35" s="17" t="n"/>
      <c r="D35" s="17" t="n"/>
      <c r="E35" s="67" t="n"/>
      <c r="F35" s="17" t="n"/>
      <c r="G35" s="61" t="n"/>
      <c r="H35" s="17" t="n"/>
      <c r="I35" s="59" t="n"/>
      <c r="J35" s="17" t="n"/>
      <c r="K35" s="67" t="n"/>
      <c r="L35" s="17" t="n"/>
      <c r="M35" s="17" t="n"/>
      <c r="O35">
        <f>IF($B35="","",IF($A35="",1,0)+IF($B35="",1,0)+IF($C35="",1,0)+IF($D35="",1,0)+IF($E35="",1,0)+IF($F35="",1,0)+IF($G35="",1,0)+IF($H35="",1,0)+IF($I35="",1,0)+IF($K35="",1,0)+IF(AND($H35="別居",$P35=""),1,0))</f>
        <v/>
      </c>
      <c r="P35" s="17" t="n"/>
    </row>
    <row r="36">
      <c r="A36" s="17" t="n"/>
      <c r="B36" s="17" t="n"/>
      <c r="C36" s="17" t="n"/>
      <c r="D36" s="17" t="n"/>
      <c r="E36" s="67" t="n"/>
      <c r="F36" s="17" t="n"/>
      <c r="G36" s="61" t="n"/>
      <c r="H36" s="17" t="n"/>
      <c r="I36" s="59" t="n"/>
      <c r="J36" s="17" t="n"/>
      <c r="K36" s="67" t="n"/>
      <c r="L36" s="17" t="n"/>
      <c r="M36" s="17" t="n"/>
      <c r="O36">
        <f>IF($B36="","",IF($A36="",1,0)+IF($B36="",1,0)+IF($C36="",1,0)+IF($D36="",1,0)+IF($E36="",1,0)+IF($F36="",1,0)+IF($G36="",1,0)+IF($H36="",1,0)+IF($I36="",1,0)+IF($K36="",1,0)+IF(AND($H36="別居",$P36=""),1,0))</f>
        <v/>
      </c>
      <c r="P36" s="17" t="n"/>
    </row>
    <row r="37">
      <c r="A37" s="17" t="n"/>
      <c r="B37" s="17" t="n"/>
      <c r="C37" s="17" t="n"/>
      <c r="D37" s="17" t="n"/>
      <c r="E37" s="67" t="n"/>
      <c r="F37" s="17" t="n"/>
      <c r="G37" s="61" t="n"/>
      <c r="H37" s="17" t="n"/>
      <c r="I37" s="59" t="n"/>
      <c r="J37" s="17" t="n"/>
      <c r="K37" s="67" t="n"/>
      <c r="L37" s="17" t="n"/>
      <c r="M37" s="17" t="n"/>
      <c r="O37">
        <f>IF($B37="","",IF($A37="",1,0)+IF($B37="",1,0)+IF($C37="",1,0)+IF($D37="",1,0)+IF($E37="",1,0)+IF($F37="",1,0)+IF($G37="",1,0)+IF($H37="",1,0)+IF($I37="",1,0)+IF($K37="",1,0)+IF(AND($H37="別居",$P37=""),1,0))</f>
        <v/>
      </c>
      <c r="P37" s="17" t="n"/>
    </row>
    <row r="38">
      <c r="A38" s="17" t="n"/>
      <c r="B38" s="17" t="n"/>
      <c r="C38" s="17" t="n"/>
      <c r="D38" s="17" t="n"/>
      <c r="E38" s="67" t="n"/>
      <c r="F38" s="17" t="n"/>
      <c r="G38" s="61" t="n"/>
      <c r="H38" s="17" t="n"/>
      <c r="I38" s="59" t="n"/>
      <c r="J38" s="17" t="n"/>
      <c r="K38" s="67" t="n"/>
      <c r="L38" s="17" t="n"/>
      <c r="M38" s="17" t="n"/>
      <c r="O38">
        <f>IF($B38="","",IF($A38="",1,0)+IF($B38="",1,0)+IF($C38="",1,0)+IF($D38="",1,0)+IF($E38="",1,0)+IF($F38="",1,0)+IF($G38="",1,0)+IF($H38="",1,0)+IF($I38="",1,0)+IF($K38="",1,0)+IF(AND($H38="別居",$P38=""),1,0))</f>
        <v/>
      </c>
      <c r="P38" s="17" t="n"/>
    </row>
    <row r="39">
      <c r="A39" s="17" t="n"/>
      <c r="B39" s="17" t="n"/>
      <c r="C39" s="17" t="n"/>
      <c r="D39" s="17" t="n"/>
      <c r="E39" s="67" t="n"/>
      <c r="F39" s="17" t="n"/>
      <c r="G39" s="61" t="n"/>
      <c r="H39" s="17" t="n"/>
      <c r="I39" s="59" t="n"/>
      <c r="J39" s="17" t="n"/>
      <c r="K39" s="67" t="n"/>
      <c r="L39" s="17" t="n"/>
      <c r="M39" s="17" t="n"/>
      <c r="O39">
        <f>IF($B39="","",IF($A39="",1,0)+IF($B39="",1,0)+IF($C39="",1,0)+IF($D39="",1,0)+IF($E39="",1,0)+IF($F39="",1,0)+IF($G39="",1,0)+IF($H39="",1,0)+IF($I39="",1,0)+IF($K39="",1,0)+IF(AND($H39="別居",$P39=""),1,0))</f>
        <v/>
      </c>
      <c r="P39" s="17" t="n"/>
    </row>
    <row r="40">
      <c r="A40" s="17" t="n"/>
      <c r="B40" s="17" t="n"/>
      <c r="C40" s="17" t="n"/>
      <c r="D40" s="17" t="n"/>
      <c r="E40" s="67" t="n"/>
      <c r="F40" s="17" t="n"/>
      <c r="G40" s="61" t="n"/>
      <c r="H40" s="17" t="n"/>
      <c r="I40" s="59" t="n"/>
      <c r="J40" s="17" t="n"/>
      <c r="K40" s="67" t="n"/>
      <c r="L40" s="17" t="n"/>
      <c r="M40" s="17" t="n"/>
      <c r="O40">
        <f>IF($B40="","",IF($A40="",1,0)+IF($B40="",1,0)+IF($C40="",1,0)+IF($D40="",1,0)+IF($E40="",1,0)+IF($F40="",1,0)+IF($G40="",1,0)+IF($H40="",1,0)+IF($I40="",1,0)+IF($K40="",1,0)+IF(AND($H40="別居",$P40=""),1,0))</f>
        <v/>
      </c>
      <c r="P40" s="17" t="n"/>
    </row>
    <row r="41">
      <c r="A41" s="17" t="n"/>
      <c r="B41" s="17" t="n"/>
      <c r="C41" s="17" t="n"/>
      <c r="D41" s="17" t="n"/>
      <c r="E41" s="67" t="n"/>
      <c r="F41" s="17" t="n"/>
      <c r="G41" s="61" t="n"/>
      <c r="H41" s="17" t="n"/>
      <c r="I41" s="59" t="n"/>
      <c r="J41" s="17" t="n"/>
      <c r="K41" s="67" t="n"/>
      <c r="L41" s="17" t="n"/>
      <c r="M41" s="17" t="n"/>
      <c r="O41">
        <f>IF($B41="","",IF($A41="",1,0)+IF($B41="",1,0)+IF($C41="",1,0)+IF($D41="",1,0)+IF($E41="",1,0)+IF($F41="",1,0)+IF($G41="",1,0)+IF($H41="",1,0)+IF($I41="",1,0)+IF($K41="",1,0)+IF(AND($H41="別居",$P41=""),1,0))</f>
        <v/>
      </c>
      <c r="P41" s="17" t="n"/>
    </row>
    <row r="42">
      <c r="A42" s="17" t="n"/>
      <c r="B42" s="17" t="n"/>
      <c r="C42" s="17" t="n"/>
      <c r="D42" s="17" t="n"/>
      <c r="E42" s="67" t="n"/>
      <c r="F42" s="17" t="n"/>
      <c r="G42" s="61" t="n"/>
      <c r="H42" s="17" t="n"/>
      <c r="I42" s="59" t="n"/>
      <c r="J42" s="17" t="n"/>
      <c r="K42" s="67" t="n"/>
      <c r="L42" s="17" t="n"/>
      <c r="M42" s="17" t="n"/>
      <c r="O42">
        <f>IF($B42="","",IF($A42="",1,0)+IF($B42="",1,0)+IF($C42="",1,0)+IF($D42="",1,0)+IF($E42="",1,0)+IF($F42="",1,0)+IF($G42="",1,0)+IF($H42="",1,0)+IF($I42="",1,0)+IF($K42="",1,0)+IF(AND($H42="別居",$P42=""),1,0))</f>
        <v/>
      </c>
      <c r="P42" s="17" t="n"/>
    </row>
    <row r="43">
      <c r="A43" s="17" t="n"/>
      <c r="B43" s="17" t="n"/>
      <c r="C43" s="17" t="n"/>
      <c r="D43" s="17" t="n"/>
      <c r="E43" s="67" t="n"/>
      <c r="F43" s="17" t="n"/>
      <c r="G43" s="61" t="n"/>
      <c r="H43" s="17" t="n"/>
      <c r="I43" s="59" t="n"/>
      <c r="J43" s="17" t="n"/>
      <c r="K43" s="67" t="n"/>
      <c r="L43" s="17" t="n"/>
      <c r="M43" s="17" t="n"/>
      <c r="O43">
        <f>IF($B43="","",IF($A43="",1,0)+IF($B43="",1,0)+IF($C43="",1,0)+IF($D43="",1,0)+IF($E43="",1,0)+IF($F43="",1,0)+IF($G43="",1,0)+IF($H43="",1,0)+IF($I43="",1,0)+IF($K43="",1,0)+IF(AND($H43="別居",$P43=""),1,0))</f>
        <v/>
      </c>
      <c r="P43" s="17" t="n"/>
    </row>
    <row r="44">
      <c r="A44" s="17" t="n"/>
      <c r="B44" s="17" t="n"/>
      <c r="C44" s="17" t="n"/>
      <c r="D44" s="17" t="n"/>
      <c r="E44" s="67" t="n"/>
      <c r="F44" s="17" t="n"/>
      <c r="G44" s="61" t="n"/>
      <c r="H44" s="17" t="n"/>
      <c r="I44" s="59" t="n"/>
      <c r="J44" s="17" t="n"/>
      <c r="K44" s="67" t="n"/>
      <c r="L44" s="17" t="n"/>
      <c r="M44" s="17" t="n"/>
      <c r="O44">
        <f>IF($B44="","",IF($A44="",1,0)+IF($B44="",1,0)+IF($C44="",1,0)+IF($D44="",1,0)+IF($E44="",1,0)+IF($F44="",1,0)+IF($G44="",1,0)+IF($H44="",1,0)+IF($I44="",1,0)+IF($K44="",1,0)+IF(AND($H44="別居",$P44=""),1,0))</f>
        <v/>
      </c>
      <c r="P44" s="17" t="n"/>
    </row>
    <row r="45">
      <c r="A45" s="17" t="n"/>
      <c r="B45" s="17" t="n"/>
      <c r="C45" s="17" t="n"/>
      <c r="D45" s="17" t="n"/>
      <c r="E45" s="67" t="n"/>
      <c r="F45" s="17" t="n"/>
      <c r="G45" s="61" t="n"/>
      <c r="H45" s="17" t="n"/>
      <c r="I45" s="59" t="n"/>
      <c r="J45" s="17" t="n"/>
      <c r="K45" s="67" t="n"/>
      <c r="L45" s="17" t="n"/>
      <c r="M45" s="17" t="n"/>
      <c r="O45">
        <f>IF($B45="","",IF($A45="",1,0)+IF($B45="",1,0)+IF($C45="",1,0)+IF($D45="",1,0)+IF($E45="",1,0)+IF($F45="",1,0)+IF($G45="",1,0)+IF($H45="",1,0)+IF($I45="",1,0)+IF($K45="",1,0)+IF(AND($H45="別居",$P45=""),1,0))</f>
        <v/>
      </c>
      <c r="P45" s="17" t="n"/>
    </row>
    <row r="46">
      <c r="A46" s="17" t="n"/>
      <c r="B46" s="17" t="n"/>
      <c r="C46" s="17" t="n"/>
      <c r="D46" s="17" t="n"/>
      <c r="E46" s="67" t="n"/>
      <c r="F46" s="17" t="n"/>
      <c r="G46" s="61" t="n"/>
      <c r="H46" s="17" t="n"/>
      <c r="I46" s="59" t="n"/>
      <c r="J46" s="17" t="n"/>
      <c r="K46" s="67" t="n"/>
      <c r="L46" s="17" t="n"/>
      <c r="M46" s="17" t="n"/>
      <c r="O46">
        <f>IF($B46="","",IF($A46="",1,0)+IF($B46="",1,0)+IF($C46="",1,0)+IF($D46="",1,0)+IF($E46="",1,0)+IF($F46="",1,0)+IF($G46="",1,0)+IF($H46="",1,0)+IF($I46="",1,0)+IF($K46="",1,0)+IF(AND($H46="別居",$P46=""),1,0))</f>
        <v/>
      </c>
      <c r="P46" s="17" t="n"/>
    </row>
    <row r="47">
      <c r="A47" s="17" t="n"/>
      <c r="B47" s="17" t="n"/>
      <c r="C47" s="17" t="n"/>
      <c r="D47" s="17" t="n"/>
      <c r="E47" s="67" t="n"/>
      <c r="F47" s="17" t="n"/>
      <c r="G47" s="61" t="n"/>
      <c r="H47" s="17" t="n"/>
      <c r="I47" s="59" t="n"/>
      <c r="J47" s="17" t="n"/>
      <c r="K47" s="67" t="n"/>
      <c r="L47" s="17" t="n"/>
      <c r="M47" s="17" t="n"/>
      <c r="O47">
        <f>IF($B47="","",IF($A47="",1,0)+IF($B47="",1,0)+IF($C47="",1,0)+IF($D47="",1,0)+IF($E47="",1,0)+IF($F47="",1,0)+IF($G47="",1,0)+IF($H47="",1,0)+IF($I47="",1,0)+IF($K47="",1,0)+IF(AND($H47="別居",$P47=""),1,0))</f>
        <v/>
      </c>
      <c r="P47" s="17" t="n"/>
    </row>
    <row r="48">
      <c r="A48" s="17" t="n"/>
      <c r="B48" s="17" t="n"/>
      <c r="C48" s="17" t="n"/>
      <c r="D48" s="17" t="n"/>
      <c r="E48" s="67" t="n"/>
      <c r="F48" s="17" t="n"/>
      <c r="G48" s="61" t="n"/>
      <c r="H48" s="17" t="n"/>
      <c r="I48" s="59" t="n"/>
      <c r="J48" s="17" t="n"/>
      <c r="K48" s="67" t="n"/>
      <c r="L48" s="17" t="n"/>
      <c r="M48" s="17" t="n"/>
      <c r="O48">
        <f>IF($B48="","",IF($A48="",1,0)+IF($B48="",1,0)+IF($C48="",1,0)+IF($D48="",1,0)+IF($E48="",1,0)+IF($F48="",1,0)+IF($G48="",1,0)+IF($H48="",1,0)+IF($I48="",1,0)+IF($K48="",1,0)+IF(AND($H48="別居",$P48=""),1,0))</f>
        <v/>
      </c>
      <c r="P48" s="17" t="n"/>
    </row>
    <row r="49">
      <c r="A49" s="17" t="n"/>
      <c r="B49" s="17" t="n"/>
      <c r="C49" s="17" t="n"/>
      <c r="D49" s="17" t="n"/>
      <c r="E49" s="67" t="n"/>
      <c r="F49" s="17" t="n"/>
      <c r="G49" s="61" t="n"/>
      <c r="H49" s="17" t="n"/>
      <c r="I49" s="59" t="n"/>
      <c r="J49" s="17" t="n"/>
      <c r="K49" s="67" t="n"/>
      <c r="L49" s="17" t="n"/>
      <c r="M49" s="17" t="n"/>
      <c r="O49">
        <f>IF($B49="","",IF($A49="",1,0)+IF($B49="",1,0)+IF($C49="",1,0)+IF($D49="",1,0)+IF($E49="",1,0)+IF($F49="",1,0)+IF($G49="",1,0)+IF($H49="",1,0)+IF($I49="",1,0)+IF($K49="",1,0)+IF(AND($H49="別居",$P49=""),1,0))</f>
        <v/>
      </c>
      <c r="P49" s="17" t="n"/>
    </row>
    <row r="50">
      <c r="A50" s="17" t="n"/>
      <c r="B50" s="17" t="n"/>
      <c r="C50" s="17" t="n"/>
      <c r="D50" s="17" t="n"/>
      <c r="E50" s="67" t="n"/>
      <c r="F50" s="17" t="n"/>
      <c r="G50" s="61" t="n"/>
      <c r="H50" s="17" t="n"/>
      <c r="I50" s="59" t="n"/>
      <c r="J50" s="17" t="n"/>
      <c r="K50" s="67" t="n"/>
      <c r="L50" s="17" t="n"/>
      <c r="M50" s="17" t="n"/>
      <c r="O50">
        <f>IF($B50="","",IF($A50="",1,0)+IF($B50="",1,0)+IF($C50="",1,0)+IF($D50="",1,0)+IF($E50="",1,0)+IF($F50="",1,0)+IF($G50="",1,0)+IF($H50="",1,0)+IF($I50="",1,0)+IF($K50="",1,0)+IF(AND($H50="別居",$P50=""),1,0))</f>
        <v/>
      </c>
      <c r="P50" s="17" t="n"/>
    </row>
    <row r="51">
      <c r="A51" s="17" t="n"/>
      <c r="B51" s="17" t="n"/>
      <c r="C51" s="17" t="n"/>
      <c r="D51" s="17" t="n"/>
      <c r="E51" s="67" t="n"/>
      <c r="F51" s="17" t="n"/>
      <c r="G51" s="61" t="n"/>
      <c r="H51" s="17" t="n"/>
      <c r="I51" s="59" t="n"/>
      <c r="J51" s="17" t="n"/>
      <c r="K51" s="67" t="n"/>
      <c r="L51" s="17" t="n"/>
      <c r="M51" s="17" t="n"/>
      <c r="O51">
        <f>IF($B51="","",IF($A51="",1,0)+IF($B51="",1,0)+IF($C51="",1,0)+IF($D51="",1,0)+IF($E51="",1,0)+IF($F51="",1,0)+IF($G51="",1,0)+IF($H51="",1,0)+IF($I51="",1,0)+IF($K51="",1,0)+IF(AND($H51="別居",$P51=""),1,0))</f>
        <v/>
      </c>
      <c r="P51" s="17" t="n"/>
    </row>
    <row r="52">
      <c r="A52" s="17" t="n"/>
      <c r="B52" s="17" t="n"/>
      <c r="C52" s="17" t="n"/>
      <c r="D52" s="17" t="n"/>
      <c r="E52" s="67" t="n"/>
      <c r="F52" s="17" t="n"/>
      <c r="G52" s="61" t="n"/>
      <c r="H52" s="17" t="n"/>
      <c r="I52" s="59" t="n"/>
      <c r="J52" s="17" t="n"/>
      <c r="K52" s="67" t="n"/>
      <c r="L52" s="17" t="n"/>
      <c r="M52" s="17" t="n"/>
      <c r="O52">
        <f>IF($B52="","",IF($A52="",1,0)+IF($B52="",1,0)+IF($C52="",1,0)+IF($D52="",1,0)+IF($E52="",1,0)+IF($F52="",1,0)+IF($G52="",1,0)+IF($H52="",1,0)+IF($I52="",1,0)+IF($K52="",1,0)+IF(AND($H52="別居",$P52=""),1,0))</f>
        <v/>
      </c>
      <c r="P52" s="17" t="n"/>
    </row>
    <row r="53">
      <c r="A53" s="17" t="n"/>
      <c r="B53" s="17" t="n"/>
      <c r="C53" s="17" t="n"/>
      <c r="D53" s="17" t="n"/>
      <c r="E53" s="67" t="n"/>
      <c r="F53" s="17" t="n"/>
      <c r="G53" s="61" t="n"/>
      <c r="H53" s="17" t="n"/>
      <c r="I53" s="59" t="n"/>
      <c r="J53" s="17" t="n"/>
      <c r="K53" s="67" t="n"/>
      <c r="L53" s="17" t="n"/>
      <c r="M53" s="17" t="n"/>
      <c r="O53">
        <f>IF($B53="","",IF($A53="",1,0)+IF($B53="",1,0)+IF($C53="",1,0)+IF($D53="",1,0)+IF($E53="",1,0)+IF($F53="",1,0)+IF($G53="",1,0)+IF($H53="",1,0)+IF($I53="",1,0)+IF($K53="",1,0)+IF(AND($H53="別居",$P53=""),1,0))</f>
        <v/>
      </c>
      <c r="P53" s="17" t="n"/>
    </row>
    <row r="54">
      <c r="A54" s="17" t="n"/>
      <c r="B54" s="17" t="n"/>
      <c r="C54" s="17" t="n"/>
      <c r="D54" s="17" t="n"/>
      <c r="E54" s="67" t="n"/>
      <c r="F54" s="17" t="n"/>
      <c r="G54" s="61" t="n"/>
      <c r="H54" s="17" t="n"/>
      <c r="I54" s="59" t="n"/>
      <c r="J54" s="17" t="n"/>
      <c r="K54" s="67" t="n"/>
      <c r="L54" s="17" t="n"/>
      <c r="M54" s="17" t="n"/>
      <c r="O54">
        <f>IF($B54="","",IF($A54="",1,0)+IF($B54="",1,0)+IF($C54="",1,0)+IF($D54="",1,0)+IF($E54="",1,0)+IF($F54="",1,0)+IF($G54="",1,0)+IF($H54="",1,0)+IF($I54="",1,0)+IF($K54="",1,0)+IF(AND($H54="別居",$P54=""),1,0))</f>
        <v/>
      </c>
      <c r="P54" s="17" t="n"/>
    </row>
    <row r="55">
      <c r="A55" s="17" t="n"/>
      <c r="B55" s="17" t="n"/>
      <c r="C55" s="17" t="n"/>
      <c r="D55" s="17" t="n"/>
      <c r="E55" s="67" t="n"/>
      <c r="F55" s="17" t="n"/>
      <c r="G55" s="61" t="n"/>
      <c r="H55" s="17" t="n"/>
      <c r="I55" s="59" t="n"/>
      <c r="J55" s="17" t="n"/>
      <c r="K55" s="67" t="n"/>
      <c r="L55" s="17" t="n"/>
      <c r="M55" s="17" t="n"/>
      <c r="O55">
        <f>IF($B55="","",IF($A55="",1,0)+IF($B55="",1,0)+IF($C55="",1,0)+IF($D55="",1,0)+IF($E55="",1,0)+IF($F55="",1,0)+IF($G55="",1,0)+IF($H55="",1,0)+IF($I55="",1,0)+IF($K55="",1,0)+IF(AND($H55="別居",$P55=""),1,0))</f>
        <v/>
      </c>
      <c r="P55" s="17" t="n"/>
    </row>
    <row r="56">
      <c r="A56" s="17" t="n"/>
      <c r="B56" s="17" t="n"/>
      <c r="C56" s="17" t="n"/>
      <c r="D56" s="17" t="n"/>
      <c r="E56" s="67" t="n"/>
      <c r="F56" s="17" t="n"/>
      <c r="G56" s="61" t="n"/>
      <c r="H56" s="17" t="n"/>
      <c r="I56" s="59" t="n"/>
      <c r="J56" s="17" t="n"/>
      <c r="K56" s="67" t="n"/>
      <c r="L56" s="17" t="n"/>
      <c r="M56" s="17" t="n"/>
      <c r="O56">
        <f>IF($B56="","",IF($A56="",1,0)+IF($B56="",1,0)+IF($C56="",1,0)+IF($D56="",1,0)+IF($E56="",1,0)+IF($F56="",1,0)+IF($G56="",1,0)+IF($H56="",1,0)+IF($I56="",1,0)+IF($K56="",1,0)+IF(AND($H56="別居",$P56=""),1,0))</f>
        <v/>
      </c>
      <c r="P56" s="17" t="n"/>
    </row>
    <row r="57">
      <c r="A57" s="17" t="n"/>
      <c r="B57" s="17" t="n"/>
      <c r="C57" s="17" t="n"/>
      <c r="D57" s="17" t="n"/>
      <c r="E57" s="67" t="n"/>
      <c r="F57" s="17" t="n"/>
      <c r="G57" s="61" t="n"/>
      <c r="H57" s="17" t="n"/>
      <c r="I57" s="59" t="n"/>
      <c r="J57" s="17" t="n"/>
      <c r="K57" s="67" t="n"/>
      <c r="L57" s="17" t="n"/>
      <c r="M57" s="17" t="n"/>
      <c r="O57">
        <f>IF($B57="","",IF($A57="",1,0)+IF($B57="",1,0)+IF($C57="",1,0)+IF($D57="",1,0)+IF($E57="",1,0)+IF($F57="",1,0)+IF($G57="",1,0)+IF($H57="",1,0)+IF($I57="",1,0)+IF($K57="",1,0)+IF(AND($H57="別居",$P57=""),1,0))</f>
        <v/>
      </c>
      <c r="P57" s="17" t="n"/>
    </row>
    <row r="58">
      <c r="A58" s="17" t="n"/>
      <c r="B58" s="17" t="n"/>
      <c r="C58" s="17" t="n"/>
      <c r="D58" s="17" t="n"/>
      <c r="E58" s="67" t="n"/>
      <c r="F58" s="17" t="n"/>
      <c r="G58" s="61" t="n"/>
      <c r="H58" s="17" t="n"/>
      <c r="I58" s="59" t="n"/>
      <c r="J58" s="17" t="n"/>
      <c r="K58" s="67" t="n"/>
      <c r="L58" s="17" t="n"/>
      <c r="M58" s="17" t="n"/>
      <c r="O58">
        <f>IF($B58="","",IF($A58="",1,0)+IF($B58="",1,0)+IF($C58="",1,0)+IF($D58="",1,0)+IF($E58="",1,0)+IF($F58="",1,0)+IF($G58="",1,0)+IF($H58="",1,0)+IF($I58="",1,0)+IF($K58="",1,0)+IF(AND($H58="別居",$P58=""),1,0))</f>
        <v/>
      </c>
      <c r="P58" s="17" t="n"/>
    </row>
    <row r="59">
      <c r="A59" s="17" t="n"/>
      <c r="B59" s="17" t="n"/>
      <c r="C59" s="17" t="n"/>
      <c r="D59" s="17" t="n"/>
      <c r="E59" s="67" t="n"/>
      <c r="F59" s="17" t="n"/>
      <c r="G59" s="61" t="n"/>
      <c r="H59" s="17" t="n"/>
      <c r="I59" s="59" t="n"/>
      <c r="J59" s="17" t="n"/>
      <c r="K59" s="67" t="n"/>
      <c r="L59" s="17" t="n"/>
      <c r="M59" s="17" t="n"/>
      <c r="O59">
        <f>IF($B59="","",IF($A59="",1,0)+IF($B59="",1,0)+IF($C59="",1,0)+IF($D59="",1,0)+IF($E59="",1,0)+IF($F59="",1,0)+IF($G59="",1,0)+IF($H59="",1,0)+IF($I59="",1,0)+IF($K59="",1,0)+IF(AND($H59="別居",$P59=""),1,0))</f>
        <v/>
      </c>
      <c r="P59" s="17" t="n"/>
    </row>
    <row r="60">
      <c r="A60" s="17" t="n"/>
      <c r="B60" s="17" t="n"/>
      <c r="C60" s="17" t="n"/>
      <c r="D60" s="17" t="n"/>
      <c r="E60" s="67" t="n"/>
      <c r="F60" s="17" t="n"/>
      <c r="G60" s="61" t="n"/>
      <c r="H60" s="17" t="n"/>
      <c r="I60" s="59" t="n"/>
      <c r="J60" s="17" t="n"/>
      <c r="K60" s="67" t="n"/>
      <c r="L60" s="17" t="n"/>
      <c r="M60" s="17" t="n"/>
      <c r="O60">
        <f>IF($B60="","",IF($A60="",1,0)+IF($B60="",1,0)+IF($C60="",1,0)+IF($D60="",1,0)+IF($E60="",1,0)+IF($F60="",1,0)+IF($G60="",1,0)+IF($H60="",1,0)+IF($I60="",1,0)+IF($K60="",1,0)+IF(AND($H60="別居",$P60=""),1,0))</f>
        <v/>
      </c>
      <c r="P60" s="17" t="n"/>
    </row>
    <row r="61">
      <c r="A61" s="17" t="n"/>
      <c r="B61" s="17" t="n"/>
      <c r="C61" s="17" t="n"/>
      <c r="D61" s="17" t="n"/>
      <c r="E61" s="67" t="n"/>
      <c r="F61" s="17" t="n"/>
      <c r="G61" s="61" t="n"/>
      <c r="H61" s="17" t="n"/>
      <c r="I61" s="59" t="n"/>
      <c r="J61" s="17" t="n"/>
      <c r="K61" s="67" t="n"/>
      <c r="L61" s="17" t="n"/>
      <c r="M61" s="17" t="n"/>
      <c r="O61">
        <f>IF($B61="","",IF($A61="",1,0)+IF($B61="",1,0)+IF($C61="",1,0)+IF($D61="",1,0)+IF($E61="",1,0)+IF($F61="",1,0)+IF($G61="",1,0)+IF($H61="",1,0)+IF($I61="",1,0)+IF($K61="",1,0)+IF(AND($H61="別居",$P61=""),1,0))</f>
        <v/>
      </c>
      <c r="P61" s="17" t="n"/>
    </row>
    <row r="62">
      <c r="A62" s="17" t="n"/>
      <c r="B62" s="17" t="n"/>
      <c r="C62" s="17" t="n"/>
      <c r="D62" s="17" t="n"/>
      <c r="E62" s="67" t="n"/>
      <c r="F62" s="17" t="n"/>
      <c r="G62" s="61" t="n"/>
      <c r="H62" s="17" t="n"/>
      <c r="I62" s="59" t="n"/>
      <c r="J62" s="17" t="n"/>
      <c r="K62" s="67" t="n"/>
      <c r="L62" s="17" t="n"/>
      <c r="M62" s="17" t="n"/>
      <c r="O62">
        <f>IF($B62="","",IF($A62="",1,0)+IF($B62="",1,0)+IF($C62="",1,0)+IF($D62="",1,0)+IF($E62="",1,0)+IF($F62="",1,0)+IF($G62="",1,0)+IF($H62="",1,0)+IF($I62="",1,0)+IF($K62="",1,0)+IF(AND($H62="別居",$P62=""),1,0))</f>
        <v/>
      </c>
      <c r="P62" s="17" t="n"/>
    </row>
    <row r="63">
      <c r="A63" s="17" t="n"/>
      <c r="B63" s="17" t="n"/>
      <c r="C63" s="17" t="n"/>
      <c r="D63" s="17" t="n"/>
      <c r="E63" s="67" t="n"/>
      <c r="F63" s="17" t="n"/>
      <c r="G63" s="61" t="n"/>
      <c r="H63" s="17" t="n"/>
      <c r="I63" s="59" t="n"/>
      <c r="J63" s="17" t="n"/>
      <c r="K63" s="67" t="n"/>
      <c r="L63" s="17" t="n"/>
      <c r="M63" s="17" t="n"/>
      <c r="O63">
        <f>IF($B63="","",IF($A63="",1,0)+IF($B63="",1,0)+IF($C63="",1,0)+IF($D63="",1,0)+IF($E63="",1,0)+IF($F63="",1,0)+IF($G63="",1,0)+IF($H63="",1,0)+IF($I63="",1,0)+IF($K63="",1,0)+IF(AND($H63="別居",$P63=""),1,0))</f>
        <v/>
      </c>
      <c r="P63" s="17" t="n"/>
    </row>
    <row r="64">
      <c r="A64" s="17" t="n"/>
      <c r="B64" s="17" t="n"/>
      <c r="C64" s="17" t="n"/>
      <c r="D64" s="17" t="n"/>
      <c r="E64" s="67" t="n"/>
      <c r="F64" s="17" t="n"/>
      <c r="G64" s="61" t="n"/>
      <c r="H64" s="17" t="n"/>
      <c r="I64" s="59" t="n"/>
      <c r="J64" s="17" t="n"/>
      <c r="K64" s="67" t="n"/>
      <c r="L64" s="17" t="n"/>
      <c r="M64" s="17" t="n"/>
      <c r="O64">
        <f>IF($B64="","",IF($A64="",1,0)+IF($B64="",1,0)+IF($C64="",1,0)+IF($D64="",1,0)+IF($E64="",1,0)+IF($F64="",1,0)+IF($G64="",1,0)+IF($H64="",1,0)+IF($I64="",1,0)+IF($K64="",1,0)+IF(AND($H64="別居",$P64=""),1,0))</f>
        <v/>
      </c>
      <c r="P64" s="17" t="n"/>
    </row>
    <row r="65">
      <c r="A65" s="17" t="n"/>
      <c r="B65" s="17" t="n"/>
      <c r="C65" s="17" t="n"/>
      <c r="D65" s="17" t="n"/>
      <c r="E65" s="67" t="n"/>
      <c r="F65" s="17" t="n"/>
      <c r="G65" s="61" t="n"/>
      <c r="H65" s="17" t="n"/>
      <c r="I65" s="59" t="n"/>
      <c r="J65" s="17" t="n"/>
      <c r="K65" s="67" t="n"/>
      <c r="L65" s="17" t="n"/>
      <c r="M65" s="17" t="n"/>
      <c r="O65">
        <f>IF($B65="","",IF($A65="",1,0)+IF($B65="",1,0)+IF($C65="",1,0)+IF($D65="",1,0)+IF($E65="",1,0)+IF($F65="",1,0)+IF($G65="",1,0)+IF($H65="",1,0)+IF($I65="",1,0)+IF($K65="",1,0)+IF(AND($H65="別居",$P65=""),1,0))</f>
        <v/>
      </c>
      <c r="P65" s="17" t="n"/>
    </row>
    <row r="66">
      <c r="A66" s="17" t="n"/>
      <c r="B66" s="17" t="n"/>
      <c r="C66" s="17" t="n"/>
      <c r="D66" s="17" t="n"/>
      <c r="E66" s="67" t="n"/>
      <c r="F66" s="17" t="n"/>
      <c r="G66" s="61" t="n"/>
      <c r="H66" s="17" t="n"/>
      <c r="I66" s="59" t="n"/>
      <c r="J66" s="17" t="n"/>
      <c r="K66" s="67" t="n"/>
      <c r="L66" s="17" t="n"/>
      <c r="M66" s="17" t="n"/>
      <c r="O66">
        <f>IF($B66="","",IF($A66="",1,0)+IF($B66="",1,0)+IF($C66="",1,0)+IF($D66="",1,0)+IF($E66="",1,0)+IF($F66="",1,0)+IF($G66="",1,0)+IF($H66="",1,0)+IF($I66="",1,0)+IF($K66="",1,0)+IF(AND($H66="別居",$P66=""),1,0))</f>
        <v/>
      </c>
      <c r="P66" s="17" t="n"/>
    </row>
    <row r="67">
      <c r="A67" s="17" t="n"/>
      <c r="B67" s="17" t="n"/>
      <c r="C67" s="17" t="n"/>
      <c r="D67" s="17" t="n"/>
      <c r="E67" s="67" t="n"/>
      <c r="F67" s="17" t="n"/>
      <c r="G67" s="61" t="n"/>
      <c r="H67" s="17" t="n"/>
      <c r="I67" s="59" t="n"/>
      <c r="J67" s="17" t="n"/>
      <c r="K67" s="67" t="n"/>
      <c r="L67" s="17" t="n"/>
      <c r="M67" s="17" t="n"/>
      <c r="O67">
        <f>IF($B67="","",IF($A67="",1,0)+IF($B67="",1,0)+IF($C67="",1,0)+IF($D67="",1,0)+IF($E67="",1,0)+IF($F67="",1,0)+IF($G67="",1,0)+IF($H67="",1,0)+IF($I67="",1,0)+IF($K67="",1,0)+IF(AND($H67="別居",$P67=""),1,0))</f>
        <v/>
      </c>
      <c r="P67" s="17" t="n"/>
    </row>
  </sheetData>
  <mergeCells count="10">
    <mergeCell ref="A4:B4"/>
    <mergeCell ref="G4:H4"/>
    <mergeCell ref="E4:F4"/>
    <mergeCell ref="A1:P1"/>
    <mergeCell ref="C3:D3"/>
    <mergeCell ref="A3:B3"/>
    <mergeCell ref="G3:H3"/>
    <mergeCell ref="E3:F3"/>
    <mergeCell ref="A5:G5"/>
    <mergeCell ref="C4:D4"/>
  </mergeCells>
  <conditionalFormatting sqref="G4">
    <cfRule type="dataBar" priority="1">
      <dataBar showValue="1">
        <cfvo type="num" val="0"/>
        <cfvo type="num" val="1"/>
        <color rgb="0063C384"/>
      </dataBar>
    </cfRule>
  </conditionalFormatting>
  <conditionalFormatting sqref="A5">
    <cfRule type="expression" priority="2" dxfId="0" stopIfTrue="1">
      <formula>ISNUMBER(SEARCH("未入力はありません",A5))</formula>
    </cfRule>
    <cfRule type="expression" priority="3" dxfId="1" stopIfTrue="1">
      <formula>ISNUMBER(SEARCH("未入力が",A5))</formula>
    </cfRule>
  </conditionalFormatting>
  <conditionalFormatting sqref="A8:A67">
    <cfRule type="expression" priority="4" dxfId="2" stopIfTrue="1">
      <formula>AND($B8&lt;&gt;"",A8="")</formula>
    </cfRule>
  </conditionalFormatting>
  <conditionalFormatting sqref="C8:C67">
    <cfRule type="expression" priority="5" dxfId="2" stopIfTrue="1">
      <formula>AND($B8&lt;&gt;"",C8="")</formula>
    </cfRule>
    <cfRule type="expression" priority="16" dxfId="1" stopIfTrue="1">
      <formula>AND(C8&lt;&gt;"",ISERROR(FIND("　",C8)),ISERROR(FIND(" ",C8)))</formula>
    </cfRule>
  </conditionalFormatting>
  <conditionalFormatting sqref="D8:D67">
    <cfRule type="expression" priority="6" dxfId="2" stopIfTrue="1">
      <formula>AND($B8&lt;&gt;"",D8="")</formula>
    </cfRule>
  </conditionalFormatting>
  <conditionalFormatting sqref="E8:E67">
    <cfRule type="expression" priority="7" dxfId="2" stopIfTrue="1">
      <formula>AND($B8&lt;&gt;"",E8="")</formula>
    </cfRule>
    <cfRule type="expression" priority="17" dxfId="1" stopIfTrue="1">
      <formula>AND(ISNUMBER(E8),E8&gt;80000)</formula>
    </cfRule>
  </conditionalFormatting>
  <conditionalFormatting sqref="F8:F67">
    <cfRule type="expression" priority="8" dxfId="2" stopIfTrue="1">
      <formula>AND($B8&lt;&gt;"",F8="")</formula>
    </cfRule>
  </conditionalFormatting>
  <conditionalFormatting sqref="G8:G67">
    <cfRule type="expression" priority="9" dxfId="2" stopIfTrue="1">
      <formula>AND($B8&lt;&gt;"",G8="")</formula>
    </cfRule>
    <cfRule type="expression" priority="14" dxfId="1" stopIfTrue="1">
      <formula>AND(G8&lt;&gt;"",G8&lt;&gt;"後日提出",G8&lt;&gt;"別経路提出",LEN(G8)&lt;&gt;12)</formula>
    </cfRule>
  </conditionalFormatting>
  <conditionalFormatting sqref="H8:H67">
    <cfRule type="expression" priority="10" dxfId="2" stopIfTrue="1">
      <formula>AND($B8&lt;&gt;"",H8="")</formula>
    </cfRule>
  </conditionalFormatting>
  <conditionalFormatting sqref="I8:I67">
    <cfRule type="expression" priority="11" dxfId="2" stopIfTrue="1">
      <formula>AND($B8&lt;&gt;"",I8="")</formula>
    </cfRule>
  </conditionalFormatting>
  <conditionalFormatting sqref="K8:K67">
    <cfRule type="expression" priority="12" dxfId="2" stopIfTrue="1">
      <formula>AND($B8&lt;&gt;"",K8="")</formula>
    </cfRule>
    <cfRule type="expression" priority="18" dxfId="1" stopIfTrue="1">
      <formula>AND(ISNUMBER(K8),K8&gt;80000)</formula>
    </cfRule>
  </conditionalFormatting>
  <conditionalFormatting sqref="B8:B67">
    <cfRule type="expression" priority="13" dxfId="2" stopIfTrue="1">
      <formula>AND($B8="",OR($A8&lt;&gt;"",$E8&lt;&gt;"",$G8&lt;&gt;""))</formula>
    </cfRule>
    <cfRule type="expression" priority="15" dxfId="1" stopIfTrue="1">
      <formula>AND(B8&lt;&gt;"",ISERROR(FIND("　",B8)),ISERROR(FIND(" ",B8)))</formula>
    </cfRule>
  </conditionalFormatting>
  <conditionalFormatting sqref="P8:P67">
    <cfRule type="expression" priority="19" dxfId="2" stopIfTrue="1">
      <formula>AND($H8="別居",P8="")</formula>
    </cfRule>
  </conditionalFormatting>
  <dataValidations count="10">
    <dataValidation sqref="A7:A67" showDropDown="0" showInputMessage="1" showErrorMessage="1" allowBlank="1" errorTitle="入力エラー" error="整数で入力してください。" promptTitle="入力のヒント" prompt="シート①の『フォーム内No.』（左端の番号）を入力。どの従業員の被扶養者かを紐付けます。" type="whole" errorStyle="stop" operator="between">
      <formula1>1</formula1>
      <formula2>9999</formula2>
    </dataValidation>
    <dataValidation sqref="D7:D67" showDropDown="0" showInputMessage="1" showErrorMessage="1" allowBlank="1" errorTitle="入力エラー" error="一覧から選択してください。" type="list" errorStyle="stop">
      <formula1>m_続柄</formula1>
    </dataValidation>
    <dataValidation sqref="E7:E67" showDropDown="0" showInputMessage="1" showErrorMessage="1" allowBlank="1" errorTitle="入力エラー" error="日付（例 1960/4/1）か、スラッシュ無しの8桁（19600401）で入力してください。" promptTitle="入力のヒント" prompt="西暦の日付。1960/4/1 でも 19600401 でも入力できます（無しは後で日付に整えます）。" type="whole" errorStyle="warning" operator="between">
      <formula1>1</formula1>
      <formula2>99999999</formula2>
    </dataValidation>
    <dataValidation sqref="F7:F67" showDropDown="0" showInputMessage="1" showErrorMessage="1" allowBlank="1" errorTitle="入力エラー" error="一覧から選択してください。" type="list" errorStyle="stop">
      <formula1>m_性別</formula1>
    </dataValidation>
    <dataValidation sqref="H7:H67" showDropDown="0" showInputMessage="1" showErrorMessage="1" allowBlank="1" errorTitle="入力エラー" error="一覧から選択してください。" promptTitle="入力のヒント" prompt="認定要件（生計維持）の判断に影響します。" type="list" errorStyle="stop">
      <formula1>m_同居別居</formula1>
    </dataValidation>
    <dataValidation sqref="I7:I67" showDropDown="0" showInputMessage="1" showErrorMessage="1" allowBlank="1" errorTitle="入力エラー" error="整数で入力してください。" promptTitle="入力のヒント" prompt="今後1年間の収入見込み。原則130万円未満（60歳以上・障害者は180万円未満）が認定の目安。" type="whole" errorStyle="stop" operator="between">
      <formula1>0</formula1>
      <formula2>100000000</formula2>
    </dataValidation>
    <dataValidation sqref="K7:K67" showDropDown="0" showInputMessage="1" showErrorMessage="1" allowBlank="1" errorTitle="入力エラー" error="日付（例 1960/4/1）か、スラッシュ無しの8桁（19600401）で入力してください。" promptTitle="入力のヒント" prompt="扶養に入れる日（資格取得日や入社日など）。西暦 YYYY/MM/DD。" type="whole" errorStyle="warning" operator="between">
      <formula1>1</formula1>
      <formula2>99999999</formula2>
    </dataValidation>
    <dataValidation sqref="L7:L67" showDropDown="0" showInputMessage="1" showErrorMessage="1" allowBlank="1" errorTitle="入力エラー" error="一覧から選択してください。" promptTitle="入力のヒント" prompt="配偶者で20歳以上60歳未満のときに該当の可能性。第3号被保険者の届出要否の確認に使用。" type="list" errorStyle="stop">
      <formula1>m_第3号</formula1>
    </dataValidation>
    <dataValidation sqref="G7:G67" showDropDown="0" showInputMessage="1" showErrorMessage="0" allowBlank="1" promptTitle="入力のヒント" prompt="12桁の数字。ハイフン無し。会社所定の安全な経路で別提出する場合は、ドロップダウンから『別経路提出』を選んでください。入社時点で未回収なら『後日提出』を選択します。" type="list">
      <formula1>m_番号提出状態</formula1>
    </dataValidation>
    <dataValidation sqref="P7:P67" showDropDown="0" showInputMessage="1" showErrorMessage="0" allowBlank="1" promptTitle="入力のヒント" prompt="同居・別居が『別居』のときにご記入ください（郵便番号・都道府県から）。"/>
  </dataValidations>
  <printOptions horizontalCentered="0"/>
  <pageMargins left="0.75" right="0.75" top="1" bottom="1" header="0.5" footer="0.5"/>
  <pageSetup orientation="landscape" paperSize="9" fitToHeight="0" fitToWidth="1"/>
  <legacyDrawing xmlns:r="http://schemas.openxmlformats.org/officeDocument/2006/relationships" r:id="anysvml"/>
</worksheet>
</file>

<file path=xl/worksheets/sheet6.xml><?xml version="1.0" encoding="utf-8"?>
<worksheet xmlns="http://schemas.openxmlformats.org/spreadsheetml/2006/main">
  <sheetPr>
    <tabColor rgb="00808080"/>
    <outlinePr summaryBelow="1" summaryRight="1"/>
    <pageSetUpPr/>
  </sheetPr>
  <dimension ref="A1:T48"/>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24" customWidth="1" min="19" max="19"/>
  </cols>
  <sheetData>
    <row r="1" ht="20.5" customHeight="1">
      <c r="A1" s="65" t="inlineStr">
        <is>
          <t>性別</t>
        </is>
      </c>
      <c r="B1" s="65" t="inlineStr">
        <is>
          <t>雇用形態</t>
        </is>
      </c>
      <c r="C1" s="65" t="inlineStr">
        <is>
          <t>賃金形態</t>
        </is>
      </c>
      <c r="D1" s="65" t="inlineStr">
        <is>
          <t>更新見込み</t>
        </is>
      </c>
      <c r="E1" s="65" t="inlineStr">
        <is>
          <t>後日提出</t>
        </is>
      </c>
      <c r="F1" s="65" t="inlineStr">
        <is>
          <t>番号提出状態</t>
        </is>
      </c>
      <c r="G1" s="65" t="inlineStr">
        <is>
          <t>あり/なし</t>
        </is>
      </c>
      <c r="H1" s="65" t="inlineStr">
        <is>
          <t>なし/あり</t>
        </is>
      </c>
      <c r="I1" s="65" t="inlineStr">
        <is>
          <t>学生区分</t>
        </is>
      </c>
      <c r="J1" s="65" t="inlineStr">
        <is>
          <t>前職雇保</t>
        </is>
      </c>
      <c r="K1" s="65" t="inlineStr">
        <is>
          <t>健保種類</t>
        </is>
      </c>
      <c r="L1" s="65" t="inlineStr">
        <is>
          <t>任意申出</t>
        </is>
      </c>
      <c r="M1" s="65" t="inlineStr">
        <is>
          <t>資格確認書</t>
        </is>
      </c>
      <c r="N1" s="65" t="inlineStr">
        <is>
          <t>続柄</t>
        </is>
      </c>
      <c r="O1" s="65" t="inlineStr">
        <is>
          <t>同居・別居</t>
        </is>
      </c>
      <c r="P1" s="65" t="inlineStr">
        <is>
          <t>第3号</t>
        </is>
      </c>
      <c r="Q1" s="65" t="inlineStr">
        <is>
          <t>国籍</t>
        </is>
      </c>
      <c r="R1" s="65" t="inlineStr">
        <is>
          <t>都道府県</t>
        </is>
      </c>
      <c r="S1" s="65" t="inlineStr">
        <is>
          <t>職種</t>
        </is>
      </c>
      <c r="T1" t="inlineStr">
        <is>
          <t>現物給与の種類</t>
        </is>
      </c>
    </row>
    <row r="2">
      <c r="A2" s="66" t="inlineStr">
        <is>
          <t>男</t>
        </is>
      </c>
      <c r="B2" s="66" t="inlineStr">
        <is>
          <t>正社員</t>
        </is>
      </c>
      <c r="C2" s="66" t="inlineStr">
        <is>
          <t>月給</t>
        </is>
      </c>
      <c r="D2" s="66" t="inlineStr">
        <is>
          <t>未定</t>
        </is>
      </c>
      <c r="E2" s="66" t="inlineStr">
        <is>
          <t>後日提出</t>
        </is>
      </c>
      <c r="F2" s="66" t="inlineStr">
        <is>
          <t>後日提出</t>
        </is>
      </c>
      <c r="G2" s="66" t="inlineStr">
        <is>
          <t>あり</t>
        </is>
      </c>
      <c r="H2" s="66" t="inlineStr">
        <is>
          <t>なし</t>
        </is>
      </c>
      <c r="I2" s="66" t="inlineStr">
        <is>
          <t>学生ではない</t>
        </is>
      </c>
      <c r="J2" s="66" t="inlineStr">
        <is>
          <t>あり</t>
        </is>
      </c>
      <c r="K2" s="66" t="inlineStr">
        <is>
          <t>協会けんぽ</t>
        </is>
      </c>
      <c r="L2" s="66" t="inlineStr">
        <is>
          <t>あり</t>
        </is>
      </c>
      <c r="M2" s="66" t="inlineStr">
        <is>
          <t>要（マイナ保険証 未登録）</t>
        </is>
      </c>
      <c r="N2" s="66" t="inlineStr">
        <is>
          <t>配偶者</t>
        </is>
      </c>
      <c r="O2" s="66" t="inlineStr">
        <is>
          <t>同居</t>
        </is>
      </c>
      <c r="P2" s="66" t="inlineStr">
        <is>
          <t>該当</t>
        </is>
      </c>
      <c r="Q2" s="66" t="inlineStr">
        <is>
          <t>日本</t>
        </is>
      </c>
      <c r="R2" s="66" t="inlineStr">
        <is>
          <t>北海道</t>
        </is>
      </c>
      <c r="S2" s="66" t="inlineStr">
        <is>
          <t>専門的・技術的職業</t>
        </is>
      </c>
      <c r="T2" t="inlineStr">
        <is>
          <t>社宅・寮</t>
        </is>
      </c>
    </row>
    <row r="3">
      <c r="A3" s="66" t="inlineStr">
        <is>
          <t>女</t>
        </is>
      </c>
      <c r="B3" s="66" t="inlineStr">
        <is>
          <t>契約社員</t>
        </is>
      </c>
      <c r="C3" s="66" t="inlineStr">
        <is>
          <t>日給</t>
        </is>
      </c>
      <c r="D3" s="66" t="inlineStr">
        <is>
          <t>更新の可能性あり</t>
        </is>
      </c>
      <c r="F3" s="66" t="inlineStr">
        <is>
          <t>別経路提出</t>
        </is>
      </c>
      <c r="G3" s="66" t="inlineStr">
        <is>
          <t>なし</t>
        </is>
      </c>
      <c r="H3" s="66" t="inlineStr">
        <is>
          <t>あり</t>
        </is>
      </c>
      <c r="I3" s="66" t="inlineStr">
        <is>
          <t>夜間・定時制・通信制</t>
        </is>
      </c>
      <c r="J3" s="66" t="inlineStr">
        <is>
          <t>なし</t>
        </is>
      </c>
      <c r="K3" s="66" t="inlineStr">
        <is>
          <t>健康保険組合</t>
        </is>
      </c>
      <c r="L3" s="66" t="inlineStr">
        <is>
          <t>なし</t>
        </is>
      </c>
      <c r="M3" s="66" t="inlineStr">
        <is>
          <t>否（登録済み）</t>
        </is>
      </c>
      <c r="N3" s="66" t="inlineStr">
        <is>
          <t>子</t>
        </is>
      </c>
      <c r="O3" s="66" t="inlineStr">
        <is>
          <t>別居</t>
        </is>
      </c>
      <c r="P3" s="66" t="inlineStr">
        <is>
          <t>非該当</t>
        </is>
      </c>
      <c r="Q3" s="66" t="inlineStr">
        <is>
          <t>外国</t>
        </is>
      </c>
      <c r="R3" s="66" t="inlineStr">
        <is>
          <t>青森県</t>
        </is>
      </c>
      <c r="S3" s="66" t="inlineStr">
        <is>
          <t>管理的職業</t>
        </is>
      </c>
      <c r="T3" t="inlineStr">
        <is>
          <t>食事</t>
        </is>
      </c>
    </row>
    <row r="4">
      <c r="B4" s="66" t="inlineStr">
        <is>
          <t>パート</t>
        </is>
      </c>
      <c r="C4" s="66" t="inlineStr">
        <is>
          <t>時給</t>
        </is>
      </c>
      <c r="D4" s="66" t="inlineStr">
        <is>
          <t>更新しない</t>
        </is>
      </c>
      <c r="I4" s="66" t="inlineStr">
        <is>
          <t>昼間部の学生</t>
        </is>
      </c>
      <c r="J4" s="66" t="inlineStr">
        <is>
          <t>不明</t>
        </is>
      </c>
      <c r="M4" s="66" t="inlineStr">
        <is>
          <t>不明</t>
        </is>
      </c>
      <c r="N4" s="66" t="inlineStr">
        <is>
          <t>父</t>
        </is>
      </c>
      <c r="R4" s="66" t="inlineStr">
        <is>
          <t>岩手県</t>
        </is>
      </c>
      <c r="S4" s="66" t="inlineStr">
        <is>
          <t>事務的職業</t>
        </is>
      </c>
      <c r="T4" t="inlineStr">
        <is>
          <t>定期券・通勤定期</t>
        </is>
      </c>
    </row>
    <row r="5">
      <c r="B5" s="66" t="inlineStr">
        <is>
          <t>アルバイト</t>
        </is>
      </c>
      <c r="C5" s="66" t="inlineStr">
        <is>
          <t>年俸</t>
        </is>
      </c>
      <c r="N5" s="66" t="inlineStr">
        <is>
          <t>母</t>
        </is>
      </c>
      <c r="R5" s="66" t="inlineStr">
        <is>
          <t>宮城県</t>
        </is>
      </c>
      <c r="S5" s="66" t="inlineStr">
        <is>
          <t>販売の職業</t>
        </is>
      </c>
      <c r="T5" t="inlineStr">
        <is>
          <t>制服以外の被服</t>
        </is>
      </c>
    </row>
    <row r="6">
      <c r="B6" s="66" t="inlineStr">
        <is>
          <t>役員</t>
        </is>
      </c>
      <c r="C6" s="66" t="inlineStr">
        <is>
          <t>その他</t>
        </is>
      </c>
      <c r="N6" s="66" t="inlineStr">
        <is>
          <t>祖父母</t>
        </is>
      </c>
      <c r="R6" s="66" t="inlineStr">
        <is>
          <t>秋田県</t>
        </is>
      </c>
      <c r="S6" s="66" t="inlineStr">
        <is>
          <t>サービスの職業</t>
        </is>
      </c>
      <c r="T6" t="inlineStr">
        <is>
          <t>その他</t>
        </is>
      </c>
    </row>
    <row r="7">
      <c r="B7" s="66" t="inlineStr">
        <is>
          <t>その他</t>
        </is>
      </c>
      <c r="N7" s="66" t="inlineStr">
        <is>
          <t>兄弟姉妹</t>
        </is>
      </c>
      <c r="R7" s="66" t="inlineStr">
        <is>
          <t>山形県</t>
        </is>
      </c>
      <c r="S7" s="66" t="inlineStr">
        <is>
          <t>保安の職業</t>
        </is>
      </c>
    </row>
    <row r="8">
      <c r="N8" s="66" t="inlineStr">
        <is>
          <t>その他</t>
        </is>
      </c>
      <c r="R8" s="66" t="inlineStr">
        <is>
          <t>福島県</t>
        </is>
      </c>
      <c r="S8" s="66" t="inlineStr">
        <is>
          <t>農林漁業の職業</t>
        </is>
      </c>
    </row>
    <row r="9">
      <c r="R9" s="66" t="inlineStr">
        <is>
          <t>茨城県</t>
        </is>
      </c>
      <c r="S9" s="66" t="inlineStr">
        <is>
          <t>生産工程の職業</t>
        </is>
      </c>
    </row>
    <row r="10">
      <c r="R10" s="66" t="inlineStr">
        <is>
          <t>栃木県</t>
        </is>
      </c>
      <c r="S10" s="66" t="inlineStr">
        <is>
          <t>輸送・機械運転の職業</t>
        </is>
      </c>
    </row>
    <row r="11">
      <c r="R11" s="66" t="inlineStr">
        <is>
          <t>群馬県</t>
        </is>
      </c>
      <c r="S11" s="66" t="inlineStr">
        <is>
          <t>建設・採掘の職業</t>
        </is>
      </c>
    </row>
    <row r="12">
      <c r="R12" s="66" t="inlineStr">
        <is>
          <t>埼玉県</t>
        </is>
      </c>
      <c r="S12" s="66" t="inlineStr">
        <is>
          <t>運搬・清掃・包装等の職業</t>
        </is>
      </c>
    </row>
    <row r="13">
      <c r="R13" s="66" t="inlineStr">
        <is>
          <t>千葉県</t>
        </is>
      </c>
      <c r="S13" s="66" t="inlineStr">
        <is>
          <t>分からない</t>
        </is>
      </c>
    </row>
    <row r="14">
      <c r="R14" s="66" t="inlineStr">
        <is>
          <t>東京都</t>
        </is>
      </c>
    </row>
    <row r="15">
      <c r="R15" s="66" t="inlineStr">
        <is>
          <t>神奈川県</t>
        </is>
      </c>
    </row>
    <row r="16">
      <c r="R16" s="66" t="inlineStr">
        <is>
          <t>新潟県</t>
        </is>
      </c>
    </row>
    <row r="17">
      <c r="R17" s="66" t="inlineStr">
        <is>
          <t>富山県</t>
        </is>
      </c>
    </row>
    <row r="18">
      <c r="R18" s="66" t="inlineStr">
        <is>
          <t>石川県</t>
        </is>
      </c>
    </row>
    <row r="19">
      <c r="R19" s="66" t="inlineStr">
        <is>
          <t>福井県</t>
        </is>
      </c>
    </row>
    <row r="20">
      <c r="R20" s="66" t="inlineStr">
        <is>
          <t>山梨県</t>
        </is>
      </c>
    </row>
    <row r="21">
      <c r="R21" s="66" t="inlineStr">
        <is>
          <t>長野県</t>
        </is>
      </c>
    </row>
    <row r="22">
      <c r="R22" s="66" t="inlineStr">
        <is>
          <t>岐阜県</t>
        </is>
      </c>
    </row>
    <row r="23">
      <c r="R23" s="66" t="inlineStr">
        <is>
          <t>静岡県</t>
        </is>
      </c>
    </row>
    <row r="24">
      <c r="R24" s="66" t="inlineStr">
        <is>
          <t>愛知県</t>
        </is>
      </c>
    </row>
    <row r="25">
      <c r="R25" s="66" t="inlineStr">
        <is>
          <t>三重県</t>
        </is>
      </c>
    </row>
    <row r="26">
      <c r="R26" s="66" t="inlineStr">
        <is>
          <t>滋賀県</t>
        </is>
      </c>
    </row>
    <row r="27">
      <c r="R27" s="66" t="inlineStr">
        <is>
          <t>京都府</t>
        </is>
      </c>
    </row>
    <row r="28">
      <c r="R28" s="66" t="inlineStr">
        <is>
          <t>大阪府</t>
        </is>
      </c>
    </row>
    <row r="29">
      <c r="R29" s="66" t="inlineStr">
        <is>
          <t>兵庫県</t>
        </is>
      </c>
    </row>
    <row r="30">
      <c r="R30" s="66" t="inlineStr">
        <is>
          <t>奈良県</t>
        </is>
      </c>
    </row>
    <row r="31">
      <c r="R31" s="66" t="inlineStr">
        <is>
          <t>和歌山県</t>
        </is>
      </c>
    </row>
    <row r="32">
      <c r="R32" s="66" t="inlineStr">
        <is>
          <t>鳥取県</t>
        </is>
      </c>
    </row>
    <row r="33">
      <c r="R33" s="66" t="inlineStr">
        <is>
          <t>島根県</t>
        </is>
      </c>
    </row>
    <row r="34">
      <c r="R34" s="66" t="inlineStr">
        <is>
          <t>岡山県</t>
        </is>
      </c>
    </row>
    <row r="35">
      <c r="R35" s="66" t="inlineStr">
        <is>
          <t>広島県</t>
        </is>
      </c>
    </row>
    <row r="36">
      <c r="R36" s="66" t="inlineStr">
        <is>
          <t>山口県</t>
        </is>
      </c>
    </row>
    <row r="37">
      <c r="R37" s="66" t="inlineStr">
        <is>
          <t>徳島県</t>
        </is>
      </c>
    </row>
    <row r="38">
      <c r="R38" s="66" t="inlineStr">
        <is>
          <t>香川県</t>
        </is>
      </c>
    </row>
    <row r="39">
      <c r="R39" s="66" t="inlineStr">
        <is>
          <t>愛媛県</t>
        </is>
      </c>
    </row>
    <row r="40">
      <c r="R40" s="66" t="inlineStr">
        <is>
          <t>高知県</t>
        </is>
      </c>
    </row>
    <row r="41">
      <c r="R41" s="66" t="inlineStr">
        <is>
          <t>福岡県</t>
        </is>
      </c>
    </row>
    <row r="42">
      <c r="R42" s="66" t="inlineStr">
        <is>
          <t>佐賀県</t>
        </is>
      </c>
    </row>
    <row r="43">
      <c r="R43" s="66" t="inlineStr">
        <is>
          <t>長崎県</t>
        </is>
      </c>
    </row>
    <row r="44">
      <c r="R44" s="66" t="inlineStr">
        <is>
          <t>熊本県</t>
        </is>
      </c>
    </row>
    <row r="45">
      <c r="R45" s="66" t="inlineStr">
        <is>
          <t>大分県</t>
        </is>
      </c>
    </row>
    <row r="46">
      <c r="R46" s="66" t="inlineStr">
        <is>
          <t>宮崎県</t>
        </is>
      </c>
    </row>
    <row r="47">
      <c r="R47" s="66" t="inlineStr">
        <is>
          <t>鹿児島県</t>
        </is>
      </c>
    </row>
    <row r="48">
      <c r="R48" s="66" t="inlineStr">
        <is>
          <t>沖縄県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66" t="inlineStr">
        <is>
          <t>データシート</t>
        </is>
      </c>
      <c r="B1" s="66" t="inlineStr">
        <is>
          <t>① 従業員情報（本人）</t>
        </is>
      </c>
      <c r="C1" s="66" t="n"/>
      <c r="D1" s="66" t="n"/>
    </row>
    <row r="2">
      <c r="A2" s="66" t="inlineStr">
        <is>
          <t>開始行</t>
        </is>
      </c>
      <c r="B2" s="66" t="n">
        <v>9</v>
      </c>
      <c r="C2" s="66" t="n"/>
      <c r="D2" s="66" t="n"/>
    </row>
    <row r="3">
      <c r="A3" s="66" t="inlineStr">
        <is>
          <t>終了行</t>
        </is>
      </c>
      <c r="B3" s="66" t="n">
        <v>58</v>
      </c>
      <c r="C3" s="66" t="n"/>
      <c r="D3" s="66" t="n"/>
    </row>
    <row r="4">
      <c r="A4" s="66" t="inlineStr">
        <is>
          <t>見出し行</t>
        </is>
      </c>
      <c r="B4" s="66" t="n">
        <v>7</v>
      </c>
      <c r="C4" s="66" t="n"/>
      <c r="D4" s="66" t="n"/>
    </row>
    <row r="5">
      <c r="A5" s="66" t="inlineStr">
        <is>
          <t>B</t>
        </is>
      </c>
      <c r="B5" s="66" t="inlineStr">
        <is>
          <t>kanji</t>
        </is>
      </c>
      <c r="C5" s="66" t="inlineStr">
        <is>
          <t>氏名（漢字）</t>
        </is>
      </c>
      <c r="D5" s="66" t="n">
        <v>0</v>
      </c>
    </row>
    <row r="6">
      <c r="A6" s="66" t="inlineStr">
        <is>
          <t>C</t>
        </is>
      </c>
      <c r="B6" s="66" t="inlineStr">
        <is>
          <t>kana</t>
        </is>
      </c>
      <c r="C6" s="66" t="inlineStr">
        <is>
          <t>氏名（フリガナ）</t>
        </is>
      </c>
      <c r="D6" s="66" t="n">
        <v>25</v>
      </c>
    </row>
    <row r="7">
      <c r="A7" s="66" t="inlineStr">
        <is>
          <t>E</t>
        </is>
      </c>
      <c r="B7" s="66" t="inlineStr">
        <is>
          <t>date</t>
        </is>
      </c>
      <c r="C7" s="66" t="inlineStr">
        <is>
          <t>生年月日</t>
        </is>
      </c>
      <c r="D7" s="66" t="n">
        <v>0</v>
      </c>
    </row>
    <row r="8">
      <c r="A8" s="66" t="inlineStr">
        <is>
          <t>G</t>
        </is>
      </c>
      <c r="B8" s="66" t="inlineStr">
        <is>
          <t>date</t>
        </is>
      </c>
      <c r="C8" s="66" t="inlineStr">
        <is>
          <t>入社日／資格取得日</t>
        </is>
      </c>
      <c r="D8" s="66" t="n">
        <v>0</v>
      </c>
    </row>
    <row r="9">
      <c r="A9" s="66" t="inlineStr">
        <is>
          <t>J</t>
        </is>
      </c>
      <c r="B9" s="66" t="inlineStr">
        <is>
          <t>date</t>
        </is>
      </c>
      <c r="C9" s="66" t="inlineStr">
        <is>
          <t>契約満了日</t>
        </is>
      </c>
      <c r="D9" s="66" t="n">
        <v>0</v>
      </c>
    </row>
    <row r="10">
      <c r="A10" s="66" t="inlineStr">
        <is>
          <t>AA</t>
        </is>
      </c>
      <c r="B10" s="66" t="inlineStr">
        <is>
          <t>num</t>
        </is>
      </c>
      <c r="C10" s="66" t="inlineStr">
        <is>
          <t>マイナンバー(12桁)</t>
        </is>
      </c>
      <c r="D10" s="66" t="n">
        <v>0</v>
      </c>
    </row>
    <row r="11">
      <c r="A11" s="66" t="inlineStr">
        <is>
          <t>AB</t>
        </is>
      </c>
      <c r="B11" s="66" t="inlineStr">
        <is>
          <t>numh</t>
        </is>
      </c>
      <c r="C11" s="66" t="inlineStr">
        <is>
          <t>基礎年金番号(10桁)</t>
        </is>
      </c>
      <c r="D11" s="66" t="n">
        <v>0</v>
      </c>
    </row>
    <row r="12">
      <c r="A12" s="66" t="inlineStr">
        <is>
          <t>AD</t>
        </is>
      </c>
      <c r="B12" s="66" t="inlineStr">
        <is>
          <t>numh</t>
        </is>
      </c>
      <c r="C12" s="66" t="inlineStr">
        <is>
          <t>雇用保険被保険者番号(11桁)</t>
        </is>
      </c>
      <c r="D12" s="66" t="n">
        <v>0</v>
      </c>
    </row>
    <row r="13">
      <c r="A13" s="66" t="inlineStr">
        <is>
          <t>AE</t>
        </is>
      </c>
      <c r="B13" s="66" t="inlineStr">
        <is>
          <t>zen</t>
        </is>
      </c>
      <c r="C13" s="66" t="inlineStr">
        <is>
          <t>前職の事業所名(番号不明時)</t>
        </is>
      </c>
      <c r="D13" s="66" t="n">
        <v>0</v>
      </c>
    </row>
    <row r="14">
      <c r="A14" s="66" t="inlineStr">
        <is>
          <t>AF</t>
        </is>
      </c>
      <c r="B14" s="66" t="inlineStr">
        <is>
          <t>date</t>
        </is>
      </c>
      <c r="C14" s="66" t="inlineStr">
        <is>
          <t>前職の退職年月日(番号不明時)</t>
        </is>
      </c>
      <c r="D14" s="66" t="n">
        <v>0</v>
      </c>
    </row>
    <row r="15">
      <c r="A15" s="66" t="inlineStr">
        <is>
          <t>AG</t>
        </is>
      </c>
      <c r="B15" s="66" t="inlineStr">
        <is>
          <t>numh</t>
        </is>
      </c>
      <c r="C15" s="66" t="inlineStr">
        <is>
          <t>郵便番号</t>
        </is>
      </c>
      <c r="D15" s="66" t="n">
        <v>0</v>
      </c>
    </row>
    <row r="16">
      <c r="A16" s="66" t="inlineStr">
        <is>
          <t>AI</t>
        </is>
      </c>
      <c r="B16" s="66" t="inlineStr">
        <is>
          <t>zen</t>
        </is>
      </c>
      <c r="C16" s="66" t="inlineStr">
        <is>
          <t>市区町村以下</t>
        </is>
      </c>
      <c r="D16" s="66" t="n">
        <v>0</v>
      </c>
    </row>
    <row r="17">
      <c r="A17" s="66" t="inlineStr">
        <is>
          <t>AJ</t>
        </is>
      </c>
      <c r="B17" s="66" t="inlineStr">
        <is>
          <t>zen</t>
        </is>
      </c>
      <c r="C17" s="66" t="inlineStr">
        <is>
          <t>建物名・部屋番号</t>
        </is>
      </c>
      <c r="D17" s="66" t="n">
        <v>0</v>
      </c>
    </row>
    <row r="18">
      <c r="A18" s="66" t="inlineStr">
        <is>
          <t>AK</t>
        </is>
      </c>
      <c r="B18" s="66" t="inlineStr">
        <is>
          <t>numh</t>
        </is>
      </c>
      <c r="C18" s="66" t="inlineStr">
        <is>
          <t>電話番号</t>
        </is>
      </c>
      <c r="D18" s="66" t="n">
        <v>0</v>
      </c>
    </row>
    <row r="19">
      <c r="A19" s="66" t="inlineStr">
        <is>
          <t>AN</t>
        </is>
      </c>
      <c r="B19" s="66" t="inlineStr">
        <is>
          <t>date</t>
        </is>
      </c>
      <c r="C19" s="66" t="inlineStr">
        <is>
          <t>在留期間満了日</t>
        </is>
      </c>
      <c r="D19" s="66" t="n">
        <v>0</v>
      </c>
    </row>
    <row r="20">
      <c r="A20" s="66" t="inlineStr">
        <is>
          <t>AO</t>
        </is>
      </c>
      <c r="B20" s="66" t="inlineStr">
        <is>
          <t>latin</t>
        </is>
      </c>
      <c r="C20" s="66" t="inlineStr">
        <is>
          <t>ローマ字氏名</t>
        </is>
      </c>
      <c r="D20" s="6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66" t="inlineStr">
        <is>
          <t>データシート</t>
        </is>
      </c>
      <c r="B1" s="66" t="inlineStr">
        <is>
          <t>② 被扶養者情報</t>
        </is>
      </c>
      <c r="C1" s="66" t="n"/>
      <c r="D1" s="66" t="n"/>
    </row>
    <row r="2">
      <c r="A2" s="66" t="inlineStr">
        <is>
          <t>開始行</t>
        </is>
      </c>
      <c r="B2" s="66" t="n">
        <v>8</v>
      </c>
      <c r="C2" s="66" t="n"/>
      <c r="D2" s="66" t="n"/>
    </row>
    <row r="3">
      <c r="A3" s="66" t="inlineStr">
        <is>
          <t>終了行</t>
        </is>
      </c>
      <c r="B3" s="66" t="n">
        <v>67</v>
      </c>
      <c r="C3" s="66" t="n"/>
      <c r="D3" s="66" t="n"/>
    </row>
    <row r="4">
      <c r="A4" s="66" t="inlineStr">
        <is>
          <t>見出し行</t>
        </is>
      </c>
      <c r="B4" s="66" t="n">
        <v>6</v>
      </c>
      <c r="C4" s="66" t="n"/>
      <c r="D4" s="66" t="n"/>
    </row>
    <row r="5">
      <c r="A5" s="66" t="inlineStr">
        <is>
          <t>B</t>
        </is>
      </c>
      <c r="B5" s="66" t="inlineStr">
        <is>
          <t>kanji</t>
        </is>
      </c>
      <c r="C5" s="66" t="inlineStr">
        <is>
          <t>氏名（漢字）</t>
        </is>
      </c>
      <c r="D5" s="66" t="n">
        <v>0</v>
      </c>
    </row>
    <row r="6">
      <c r="A6" s="66" t="inlineStr">
        <is>
          <t>C</t>
        </is>
      </c>
      <c r="B6" s="66" t="inlineStr">
        <is>
          <t>kana</t>
        </is>
      </c>
      <c r="C6" s="66" t="inlineStr">
        <is>
          <t>フリガナ</t>
        </is>
      </c>
      <c r="D6" s="66" t="n">
        <v>25</v>
      </c>
    </row>
    <row r="7">
      <c r="A7" s="66" t="inlineStr">
        <is>
          <t>E</t>
        </is>
      </c>
      <c r="B7" s="66" t="inlineStr">
        <is>
          <t>date</t>
        </is>
      </c>
      <c r="C7" s="66" t="inlineStr">
        <is>
          <t>生年月日</t>
        </is>
      </c>
      <c r="D7" s="66" t="n">
        <v>0</v>
      </c>
    </row>
    <row r="8">
      <c r="A8" s="66" t="inlineStr">
        <is>
          <t>G</t>
        </is>
      </c>
      <c r="B8" s="66" t="inlineStr">
        <is>
          <t>num</t>
        </is>
      </c>
      <c r="C8" s="66" t="inlineStr">
        <is>
          <t>マイナンバー(12桁)</t>
        </is>
      </c>
      <c r="D8" s="66" t="n">
        <v>0</v>
      </c>
    </row>
    <row r="9">
      <c r="A9" s="66" t="inlineStr">
        <is>
          <t>K</t>
        </is>
      </c>
      <c r="B9" s="66" t="inlineStr">
        <is>
          <t>date</t>
        </is>
      </c>
      <c r="C9" s="66" t="inlineStr">
        <is>
          <t>被扶養者になった日</t>
        </is>
      </c>
      <c r="D9" s="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2026-07-04T00:07:30Z</dcterms:created>
  <dcterms:modified xmlns:dcterms="http://purl.org/dc/terms/" xmlns:xsi="http://www.w3.org/2001/XMLSchema-instance" xsi:type="dcterms:W3CDTF">2026-09-10T18:59:31Z</dcterms:modified>
</cp:coreProperties>
</file>