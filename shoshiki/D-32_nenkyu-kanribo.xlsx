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次有給休暇管理簿" sheetId="1" state="visible" r:id="rId1"/>
  </sheets>
  <definedNames>
    <definedName name="_xlnm.Print_Titles" localSheetId="0">'年次有給休暇管理簿'!$1:$5</definedName>
    <definedName name="_xlnm.Print_Area" localSheetId="0">'年次有給休暇管理簿'!$A$1:$AA$58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0.0"/>
    <numFmt numFmtId="166" formatCode="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F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49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center" wrapText="1"/>
    </xf>
    <xf numFmtId="166" fontId="0" fillId="0" borderId="1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3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15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3" customWidth="1" min="27" max="27"/>
    <col hidden="1" width="8" customWidth="1" min="28" max="28"/>
    <col hidden="1" width="8" customWidth="1" min="29" max="29"/>
  </cols>
  <sheetData>
    <row r="1">
      <c r="A1" s="1" t="inlineStr">
        <is>
          <t>年次有給休暇管理簿</t>
        </is>
      </c>
    </row>
    <row r="2">
      <c r="A2" t="inlineStr">
        <is>
          <t>会社名</t>
        </is>
      </c>
      <c r="B2" t="inlineStr">
        <is>
          <t>【会社名】</t>
        </is>
      </c>
      <c r="D2" t="inlineStr">
        <is>
          <t>対象年度</t>
        </is>
      </c>
      <c r="E2" t="inlineStr">
        <is>
          <t>2026年度</t>
        </is>
      </c>
    </row>
    <row r="3">
      <c r="A3" t="inlineStr">
        <is>
          <t>労基則24条の7：基準日・日数・時季を記載し、5年（当分3年）保存。年10日以上付与の人は年5日の取得が必要（労基法39条7項）。</t>
        </is>
      </c>
    </row>
    <row r="5">
      <c r="A5" s="2" t="inlineStr">
        <is>
          <t>社員ID</t>
        </is>
      </c>
      <c r="B5" s="2" t="inlineStr">
        <is>
          <t>氏名</t>
        </is>
      </c>
      <c r="C5" s="2" t="inlineStr">
        <is>
          <t>入社日</t>
        </is>
      </c>
      <c r="D5" s="2" t="inlineStr">
        <is>
          <t>基準日</t>
        </is>
      </c>
      <c r="E5" s="2" t="inlineStr">
        <is>
          <t>前年繰越</t>
        </is>
      </c>
      <c r="F5" s="2" t="inlineStr">
        <is>
          <t>今年付与</t>
        </is>
      </c>
      <c r="G5" s="2" t="inlineStr">
        <is>
          <t>合計</t>
        </is>
      </c>
      <c r="H5" s="2" t="inlineStr">
        <is>
          <t>取得日数</t>
        </is>
      </c>
      <c r="I5" s="2" t="inlineStr">
        <is>
          <t>残日数</t>
        </is>
      </c>
      <c r="J5" s="2" t="inlineStr">
        <is>
          <t>5日取得</t>
        </is>
      </c>
      <c r="K5" s="2" t="inlineStr">
        <is>
          <t>時季指定（会社）</t>
        </is>
      </c>
      <c r="L5" s="2" t="inlineStr">
        <is>
          <t>取得日1</t>
        </is>
      </c>
      <c r="M5" s="2" t="inlineStr">
        <is>
          <t>取得日2</t>
        </is>
      </c>
      <c r="N5" s="2" t="inlineStr">
        <is>
          <t>取得日3</t>
        </is>
      </c>
      <c r="O5" s="2" t="inlineStr">
        <is>
          <t>取得日4</t>
        </is>
      </c>
      <c r="P5" s="2" t="inlineStr">
        <is>
          <t>取得日5</t>
        </is>
      </c>
      <c r="Q5" s="2" t="inlineStr">
        <is>
          <t>取得日6</t>
        </is>
      </c>
      <c r="R5" s="2" t="inlineStr">
        <is>
          <t>取得日7</t>
        </is>
      </c>
      <c r="S5" s="2" t="inlineStr">
        <is>
          <t>取得日8</t>
        </is>
      </c>
      <c r="T5" s="2" t="inlineStr">
        <is>
          <t>取得日9</t>
        </is>
      </c>
      <c r="U5" s="2" t="inlineStr">
        <is>
          <t>取得日10</t>
        </is>
      </c>
      <c r="V5" s="2" t="inlineStr">
        <is>
          <t>取得日11</t>
        </is>
      </c>
      <c r="W5" s="2" t="inlineStr">
        <is>
          <t>取得日12</t>
        </is>
      </c>
      <c r="X5" s="2" t="inlineStr">
        <is>
          <t>取得日13</t>
        </is>
      </c>
      <c r="Y5" s="2" t="inlineStr">
        <is>
          <t>取得日14</t>
        </is>
      </c>
      <c r="Z5" s="2" t="inlineStr">
        <is>
          <t>取得日15</t>
        </is>
      </c>
      <c r="AA5" s="2" t="inlineStr">
        <is>
          <t>当行取得日数</t>
        </is>
      </c>
      <c r="AB5" s="2" t="inlineStr">
        <is>
          <t>付与入力行（内部）</t>
        </is>
      </c>
      <c r="AC5" s="2" t="inlineStr">
        <is>
          <t>社員ID照合（内部）</t>
        </is>
      </c>
    </row>
    <row r="6" ht="30" customHeight="1">
      <c r="A6" s="3" t="n"/>
      <c r="B6" s="4" t="n"/>
      <c r="C6" s="5" t="n"/>
      <c r="D6" s="5" t="n"/>
      <c r="E6" s="4" t="n"/>
      <c r="F6" s="4" t="n"/>
      <c r="G6" s="4">
        <f>IF(OR(A6="",D6=""),"",IF(SUMIFS($AB$6:$AB$55,$AC$6:$AC$55,"="&amp;SUBSTITUTE(SUBSTITUTE(SUBSTITUTE(AC6,"~","~~"),"*","~*"),"?","~?"),$D$6:$D$55,D6)=1,SUMIFS($E$6:$E$55,$AC$6:$AC$55,"="&amp;SUBSTITUTE(SUBSTITUTE(SUBSTITUTE(AC6,"~","~~"),"*","~*"),"?","~?"),$D$6:$D$55,D6)+SUMIFS($F$6:$F$55,$AC$6:$AC$55,"="&amp;SUBSTITUTE(SUBSTITUTE(SUBSTITUTE(AC6,"~","~~"),"*","~*"),"?","~?"),$D$6:$D$55,D6),""))</f>
        <v/>
      </c>
      <c r="H6" s="6">
        <f>IF(OR(A6="",D6=""),"",SUMIFS($AA$6:$AA$55,$AC$6:$AC$55,"="&amp;SUBSTITUTE(SUBSTITUTE(SUBSTITUTE(AC6,"~","~~"),"*","~*"),"?","~?"),$D$6:$D$55,D6))</f>
        <v/>
      </c>
      <c r="I6" s="6">
        <f>IF(G6="","",G6-H6)</f>
        <v/>
      </c>
      <c r="J6" s="7">
        <f>IF(COUNTA(A6:F6,L6:Z6)=0,"",IF(OR(A6="",D6=""),"ID・基準日要入力",IF(SUMIFS($AB$6:$AB$55,$AC$6:$AC$55,"="&amp;SUBSTITUTE(SUBSTITUTE(SUBSTITUTE(AC6,"~","~~"),"*","~*"),"?","~?"),$D$6:$D$55,D6)&lt;&gt;1,"付与は1行に入力",IF(SUMIFS($F$6:$F$55,$AC$6:$AC$55,"="&amp;SUBSTITUTE(SUBSTITUTE(SUBSTITUTE(AC6,"~","~~"),"*","~*"),"?","~?"),$D$6:$D$55,D6)&lt;10,"対象外",IF(H6&gt;=5,"済","未達")))))</f>
        <v/>
      </c>
      <c r="K6" s="4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6">
        <f>IF(COUNTA(L6:Z6)=0,"",COUNTA(L6:Z6))</f>
        <v/>
      </c>
      <c r="AB6" s="4">
        <f>IF(COUNT(E6:F6)=0,0,1)</f>
        <v/>
      </c>
      <c r="AC6" s="4">
        <f>IF(A6="","","ID:"&amp;A6)</f>
        <v/>
      </c>
    </row>
    <row r="7" ht="30" customHeight="1">
      <c r="A7" s="3" t="n"/>
      <c r="B7" s="4" t="n"/>
      <c r="C7" s="5" t="n"/>
      <c r="D7" s="5" t="n"/>
      <c r="E7" s="4" t="n"/>
      <c r="F7" s="4" t="n"/>
      <c r="G7" s="4">
        <f>IF(OR(A7="",D7=""),"",IF(SUMIFS($AB$6:$AB$55,$AC$6:$AC$55,"="&amp;SUBSTITUTE(SUBSTITUTE(SUBSTITUTE(AC7,"~","~~"),"*","~*"),"?","~?"),$D$6:$D$55,D7)=1,SUMIFS($E$6:$E$55,$AC$6:$AC$55,"="&amp;SUBSTITUTE(SUBSTITUTE(SUBSTITUTE(AC7,"~","~~"),"*","~*"),"?","~?"),$D$6:$D$55,D7)+SUMIFS($F$6:$F$55,$AC$6:$AC$55,"="&amp;SUBSTITUTE(SUBSTITUTE(SUBSTITUTE(AC7,"~","~~"),"*","~*"),"?","~?"),$D$6:$D$55,D7),""))</f>
        <v/>
      </c>
      <c r="H7" s="6">
        <f>IF(OR(A7="",D7=""),"",SUMIFS($AA$6:$AA$55,$AC$6:$AC$55,"="&amp;SUBSTITUTE(SUBSTITUTE(SUBSTITUTE(AC7,"~","~~"),"*","~*"),"?","~?"),$D$6:$D$55,D7))</f>
        <v/>
      </c>
      <c r="I7" s="6">
        <f>IF(G7="","",G7-H7)</f>
        <v/>
      </c>
      <c r="J7" s="7">
        <f>IF(COUNTA(A7:F7,L7:Z7)=0,"",IF(OR(A7="",D7=""),"ID・基準日要入力",IF(SUMIFS($AB$6:$AB$55,$AC$6:$AC$55,"="&amp;SUBSTITUTE(SUBSTITUTE(SUBSTITUTE(AC7,"~","~~"),"*","~*"),"?","~?"),$D$6:$D$55,D7)&lt;&gt;1,"付与は1行に入力",IF(SUMIFS($F$6:$F$55,$AC$6:$AC$55,"="&amp;SUBSTITUTE(SUBSTITUTE(SUBSTITUTE(AC7,"~","~~"),"*","~*"),"?","~?"),$D$6:$D$55,D7)&lt;10,"対象外",IF(H7&gt;=5,"済","未達")))))</f>
        <v/>
      </c>
      <c r="K7" s="4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6">
        <f>IF(COUNTA(L7:Z7)=0,"",COUNTA(L7:Z7))</f>
        <v/>
      </c>
      <c r="AB7" s="4">
        <f>IF(COUNT(E7:F7)=0,0,1)</f>
        <v/>
      </c>
      <c r="AC7" s="4">
        <f>IF(A7="","","ID:"&amp;A7)</f>
        <v/>
      </c>
    </row>
    <row r="8" ht="30" customHeight="1">
      <c r="A8" s="3" t="n"/>
      <c r="B8" s="4" t="n"/>
      <c r="C8" s="5" t="n"/>
      <c r="D8" s="5" t="n"/>
      <c r="E8" s="4" t="n"/>
      <c r="F8" s="4" t="n"/>
      <c r="G8" s="4">
        <f>IF(OR(A8="",D8=""),"",IF(SUMIFS($AB$6:$AB$55,$AC$6:$AC$55,"="&amp;SUBSTITUTE(SUBSTITUTE(SUBSTITUTE(AC8,"~","~~"),"*","~*"),"?","~?"),$D$6:$D$55,D8)=1,SUMIFS($E$6:$E$55,$AC$6:$AC$55,"="&amp;SUBSTITUTE(SUBSTITUTE(SUBSTITUTE(AC8,"~","~~"),"*","~*"),"?","~?"),$D$6:$D$55,D8)+SUMIFS($F$6:$F$55,$AC$6:$AC$55,"="&amp;SUBSTITUTE(SUBSTITUTE(SUBSTITUTE(AC8,"~","~~"),"*","~*"),"?","~?"),$D$6:$D$55,D8),""))</f>
        <v/>
      </c>
      <c r="H8" s="6">
        <f>IF(OR(A8="",D8=""),"",SUMIFS($AA$6:$AA$55,$AC$6:$AC$55,"="&amp;SUBSTITUTE(SUBSTITUTE(SUBSTITUTE(AC8,"~","~~"),"*","~*"),"?","~?"),$D$6:$D$55,D8))</f>
        <v/>
      </c>
      <c r="I8" s="6">
        <f>IF(G8="","",G8-H8)</f>
        <v/>
      </c>
      <c r="J8" s="7">
        <f>IF(COUNTA(A8:F8,L8:Z8)=0,"",IF(OR(A8="",D8=""),"ID・基準日要入力",IF(SUMIFS($AB$6:$AB$55,$AC$6:$AC$55,"="&amp;SUBSTITUTE(SUBSTITUTE(SUBSTITUTE(AC8,"~","~~"),"*","~*"),"?","~?"),$D$6:$D$55,D8)&lt;&gt;1,"付与は1行に入力",IF(SUMIFS($F$6:$F$55,$AC$6:$AC$55,"="&amp;SUBSTITUTE(SUBSTITUTE(SUBSTITUTE(AC8,"~","~~"),"*","~*"),"?","~?"),$D$6:$D$55,D8)&lt;10,"対象外",IF(H8&gt;=5,"済","未達")))))</f>
        <v/>
      </c>
      <c r="K8" s="4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6">
        <f>IF(COUNTA(L8:Z8)=0,"",COUNTA(L8:Z8))</f>
        <v/>
      </c>
      <c r="AB8" s="4">
        <f>IF(COUNT(E8:F8)=0,0,1)</f>
        <v/>
      </c>
      <c r="AC8" s="4">
        <f>IF(A8="","","ID:"&amp;A8)</f>
        <v/>
      </c>
    </row>
    <row r="9" ht="30" customHeight="1">
      <c r="A9" s="3" t="n"/>
      <c r="B9" s="4" t="n"/>
      <c r="C9" s="5" t="n"/>
      <c r="D9" s="5" t="n"/>
      <c r="E9" s="4" t="n"/>
      <c r="F9" s="4" t="n"/>
      <c r="G9" s="4">
        <f>IF(OR(A9="",D9=""),"",IF(SUMIFS($AB$6:$AB$55,$AC$6:$AC$55,"="&amp;SUBSTITUTE(SUBSTITUTE(SUBSTITUTE(AC9,"~","~~"),"*","~*"),"?","~?"),$D$6:$D$55,D9)=1,SUMIFS($E$6:$E$55,$AC$6:$AC$55,"="&amp;SUBSTITUTE(SUBSTITUTE(SUBSTITUTE(AC9,"~","~~"),"*","~*"),"?","~?"),$D$6:$D$55,D9)+SUMIFS($F$6:$F$55,$AC$6:$AC$55,"="&amp;SUBSTITUTE(SUBSTITUTE(SUBSTITUTE(AC9,"~","~~"),"*","~*"),"?","~?"),$D$6:$D$55,D9),""))</f>
        <v/>
      </c>
      <c r="H9" s="6">
        <f>IF(OR(A9="",D9=""),"",SUMIFS($AA$6:$AA$55,$AC$6:$AC$55,"="&amp;SUBSTITUTE(SUBSTITUTE(SUBSTITUTE(AC9,"~","~~"),"*","~*"),"?","~?"),$D$6:$D$55,D9))</f>
        <v/>
      </c>
      <c r="I9" s="6">
        <f>IF(G9="","",G9-H9)</f>
        <v/>
      </c>
      <c r="J9" s="7">
        <f>IF(COUNTA(A9:F9,L9:Z9)=0,"",IF(OR(A9="",D9=""),"ID・基準日要入力",IF(SUMIFS($AB$6:$AB$55,$AC$6:$AC$55,"="&amp;SUBSTITUTE(SUBSTITUTE(SUBSTITUTE(AC9,"~","~~"),"*","~*"),"?","~?"),$D$6:$D$55,D9)&lt;&gt;1,"付与は1行に入力",IF(SUMIFS($F$6:$F$55,$AC$6:$AC$55,"="&amp;SUBSTITUTE(SUBSTITUTE(SUBSTITUTE(AC9,"~","~~"),"*","~*"),"?","~?"),$D$6:$D$55,D9)&lt;10,"対象外",IF(H9&gt;=5,"済","未達")))))</f>
        <v/>
      </c>
      <c r="K9" s="4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6">
        <f>IF(COUNTA(L9:Z9)=0,"",COUNTA(L9:Z9))</f>
        <v/>
      </c>
      <c r="AB9" s="4">
        <f>IF(COUNT(E9:F9)=0,0,1)</f>
        <v/>
      </c>
      <c r="AC9" s="4">
        <f>IF(A9="","","ID:"&amp;A9)</f>
        <v/>
      </c>
    </row>
    <row r="10" ht="30" customHeight="1">
      <c r="A10" s="3" t="n"/>
      <c r="B10" s="4" t="n"/>
      <c r="C10" s="5" t="n"/>
      <c r="D10" s="5" t="n"/>
      <c r="E10" s="4" t="n"/>
      <c r="F10" s="4" t="n"/>
      <c r="G10" s="4">
        <f>IF(OR(A10="",D10=""),"",IF(SUMIFS($AB$6:$AB$55,$AC$6:$AC$55,"="&amp;SUBSTITUTE(SUBSTITUTE(SUBSTITUTE(AC10,"~","~~"),"*","~*"),"?","~?"),$D$6:$D$55,D10)=1,SUMIFS($E$6:$E$55,$AC$6:$AC$55,"="&amp;SUBSTITUTE(SUBSTITUTE(SUBSTITUTE(AC10,"~","~~"),"*","~*"),"?","~?"),$D$6:$D$55,D10)+SUMIFS($F$6:$F$55,$AC$6:$AC$55,"="&amp;SUBSTITUTE(SUBSTITUTE(SUBSTITUTE(AC10,"~","~~"),"*","~*"),"?","~?"),$D$6:$D$55,D10),""))</f>
        <v/>
      </c>
      <c r="H10" s="6">
        <f>IF(OR(A10="",D10=""),"",SUMIFS($AA$6:$AA$55,$AC$6:$AC$55,"="&amp;SUBSTITUTE(SUBSTITUTE(SUBSTITUTE(AC10,"~","~~"),"*","~*"),"?","~?"),$D$6:$D$55,D10))</f>
        <v/>
      </c>
      <c r="I10" s="6">
        <f>IF(G10="","",G10-H10)</f>
        <v/>
      </c>
      <c r="J10" s="7">
        <f>IF(COUNTA(A10:F10,L10:Z10)=0,"",IF(OR(A10="",D10=""),"ID・基準日要入力",IF(SUMIFS($AB$6:$AB$55,$AC$6:$AC$55,"="&amp;SUBSTITUTE(SUBSTITUTE(SUBSTITUTE(AC10,"~","~~"),"*","~*"),"?","~?"),$D$6:$D$55,D10)&lt;&gt;1,"付与は1行に入力",IF(SUMIFS($F$6:$F$55,$AC$6:$AC$55,"="&amp;SUBSTITUTE(SUBSTITUTE(SUBSTITUTE(AC10,"~","~~"),"*","~*"),"?","~?"),$D$6:$D$55,D10)&lt;10,"対象外",IF(H10&gt;=5,"済","未達")))))</f>
        <v/>
      </c>
      <c r="K10" s="4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6">
        <f>IF(COUNTA(L10:Z10)=0,"",COUNTA(L10:Z10))</f>
        <v/>
      </c>
      <c r="AB10" s="4">
        <f>IF(COUNT(E10:F10)=0,0,1)</f>
        <v/>
      </c>
      <c r="AC10" s="4">
        <f>IF(A10="","","ID:"&amp;A10)</f>
        <v/>
      </c>
    </row>
    <row r="11" ht="30" customHeight="1">
      <c r="A11" s="3" t="n"/>
      <c r="B11" s="4" t="n"/>
      <c r="C11" s="5" t="n"/>
      <c r="D11" s="5" t="n"/>
      <c r="E11" s="4" t="n"/>
      <c r="F11" s="4" t="n"/>
      <c r="G11" s="4">
        <f>IF(OR(A11="",D11=""),"",IF(SUMIFS($AB$6:$AB$55,$AC$6:$AC$55,"="&amp;SUBSTITUTE(SUBSTITUTE(SUBSTITUTE(AC11,"~","~~"),"*","~*"),"?","~?"),$D$6:$D$55,D11)=1,SUMIFS($E$6:$E$55,$AC$6:$AC$55,"="&amp;SUBSTITUTE(SUBSTITUTE(SUBSTITUTE(AC11,"~","~~"),"*","~*"),"?","~?"),$D$6:$D$55,D11)+SUMIFS($F$6:$F$55,$AC$6:$AC$55,"="&amp;SUBSTITUTE(SUBSTITUTE(SUBSTITUTE(AC11,"~","~~"),"*","~*"),"?","~?"),$D$6:$D$55,D11),""))</f>
        <v/>
      </c>
      <c r="H11" s="6">
        <f>IF(OR(A11="",D11=""),"",SUMIFS($AA$6:$AA$55,$AC$6:$AC$55,"="&amp;SUBSTITUTE(SUBSTITUTE(SUBSTITUTE(AC11,"~","~~"),"*","~*"),"?","~?"),$D$6:$D$55,D11))</f>
        <v/>
      </c>
      <c r="I11" s="6">
        <f>IF(G11="","",G11-H11)</f>
        <v/>
      </c>
      <c r="J11" s="7">
        <f>IF(COUNTA(A11:F11,L11:Z11)=0,"",IF(OR(A11="",D11=""),"ID・基準日要入力",IF(SUMIFS($AB$6:$AB$55,$AC$6:$AC$55,"="&amp;SUBSTITUTE(SUBSTITUTE(SUBSTITUTE(AC11,"~","~~"),"*","~*"),"?","~?"),$D$6:$D$55,D11)&lt;&gt;1,"付与は1行に入力",IF(SUMIFS($F$6:$F$55,$AC$6:$AC$55,"="&amp;SUBSTITUTE(SUBSTITUTE(SUBSTITUTE(AC11,"~","~~"),"*","~*"),"?","~?"),$D$6:$D$55,D11)&lt;10,"対象外",IF(H11&gt;=5,"済","未達")))))</f>
        <v/>
      </c>
      <c r="K11" s="4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6">
        <f>IF(COUNTA(L11:Z11)=0,"",COUNTA(L11:Z11))</f>
        <v/>
      </c>
      <c r="AB11" s="4">
        <f>IF(COUNT(E11:F11)=0,0,1)</f>
        <v/>
      </c>
      <c r="AC11" s="4">
        <f>IF(A11="","","ID:"&amp;A11)</f>
        <v/>
      </c>
    </row>
    <row r="12" ht="30" customHeight="1">
      <c r="A12" s="3" t="n"/>
      <c r="B12" s="4" t="n"/>
      <c r="C12" s="5" t="n"/>
      <c r="D12" s="5" t="n"/>
      <c r="E12" s="4" t="n"/>
      <c r="F12" s="4" t="n"/>
      <c r="G12" s="4">
        <f>IF(OR(A12="",D12=""),"",IF(SUMIFS($AB$6:$AB$55,$AC$6:$AC$55,"="&amp;SUBSTITUTE(SUBSTITUTE(SUBSTITUTE(AC12,"~","~~"),"*","~*"),"?","~?"),$D$6:$D$55,D12)=1,SUMIFS($E$6:$E$55,$AC$6:$AC$55,"="&amp;SUBSTITUTE(SUBSTITUTE(SUBSTITUTE(AC12,"~","~~"),"*","~*"),"?","~?"),$D$6:$D$55,D12)+SUMIFS($F$6:$F$55,$AC$6:$AC$55,"="&amp;SUBSTITUTE(SUBSTITUTE(SUBSTITUTE(AC12,"~","~~"),"*","~*"),"?","~?"),$D$6:$D$55,D12),""))</f>
        <v/>
      </c>
      <c r="H12" s="6">
        <f>IF(OR(A12="",D12=""),"",SUMIFS($AA$6:$AA$55,$AC$6:$AC$55,"="&amp;SUBSTITUTE(SUBSTITUTE(SUBSTITUTE(AC12,"~","~~"),"*","~*"),"?","~?"),$D$6:$D$55,D12))</f>
        <v/>
      </c>
      <c r="I12" s="6">
        <f>IF(G12="","",G12-H12)</f>
        <v/>
      </c>
      <c r="J12" s="7">
        <f>IF(COUNTA(A12:F12,L12:Z12)=0,"",IF(OR(A12="",D12=""),"ID・基準日要入力",IF(SUMIFS($AB$6:$AB$55,$AC$6:$AC$55,"="&amp;SUBSTITUTE(SUBSTITUTE(SUBSTITUTE(AC12,"~","~~"),"*","~*"),"?","~?"),$D$6:$D$55,D12)&lt;&gt;1,"付与は1行に入力",IF(SUMIFS($F$6:$F$55,$AC$6:$AC$55,"="&amp;SUBSTITUTE(SUBSTITUTE(SUBSTITUTE(AC12,"~","~~"),"*","~*"),"?","~?"),$D$6:$D$55,D12)&lt;10,"対象外",IF(H12&gt;=5,"済","未達")))))</f>
        <v/>
      </c>
      <c r="K12" s="4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6">
        <f>IF(COUNTA(L12:Z12)=0,"",COUNTA(L12:Z12))</f>
        <v/>
      </c>
      <c r="AB12" s="4">
        <f>IF(COUNT(E12:F12)=0,0,1)</f>
        <v/>
      </c>
      <c r="AC12" s="4">
        <f>IF(A12="","","ID:"&amp;A12)</f>
        <v/>
      </c>
    </row>
    <row r="13" ht="30" customHeight="1">
      <c r="A13" s="3" t="n"/>
      <c r="B13" s="4" t="n"/>
      <c r="C13" s="5" t="n"/>
      <c r="D13" s="5" t="n"/>
      <c r="E13" s="4" t="n"/>
      <c r="F13" s="4" t="n"/>
      <c r="G13" s="4">
        <f>IF(OR(A13="",D13=""),"",IF(SUMIFS($AB$6:$AB$55,$AC$6:$AC$55,"="&amp;SUBSTITUTE(SUBSTITUTE(SUBSTITUTE(AC13,"~","~~"),"*","~*"),"?","~?"),$D$6:$D$55,D13)=1,SUMIFS($E$6:$E$55,$AC$6:$AC$55,"="&amp;SUBSTITUTE(SUBSTITUTE(SUBSTITUTE(AC13,"~","~~"),"*","~*"),"?","~?"),$D$6:$D$55,D13)+SUMIFS($F$6:$F$55,$AC$6:$AC$55,"="&amp;SUBSTITUTE(SUBSTITUTE(SUBSTITUTE(AC13,"~","~~"),"*","~*"),"?","~?"),$D$6:$D$55,D13),""))</f>
        <v/>
      </c>
      <c r="H13" s="6">
        <f>IF(OR(A13="",D13=""),"",SUMIFS($AA$6:$AA$55,$AC$6:$AC$55,"="&amp;SUBSTITUTE(SUBSTITUTE(SUBSTITUTE(AC13,"~","~~"),"*","~*"),"?","~?"),$D$6:$D$55,D13))</f>
        <v/>
      </c>
      <c r="I13" s="6">
        <f>IF(G13="","",G13-H13)</f>
        <v/>
      </c>
      <c r="J13" s="7">
        <f>IF(COUNTA(A13:F13,L13:Z13)=0,"",IF(OR(A13="",D13=""),"ID・基準日要入力",IF(SUMIFS($AB$6:$AB$55,$AC$6:$AC$55,"="&amp;SUBSTITUTE(SUBSTITUTE(SUBSTITUTE(AC13,"~","~~"),"*","~*"),"?","~?"),$D$6:$D$55,D13)&lt;&gt;1,"付与は1行に入力",IF(SUMIFS($F$6:$F$55,$AC$6:$AC$55,"="&amp;SUBSTITUTE(SUBSTITUTE(SUBSTITUTE(AC13,"~","~~"),"*","~*"),"?","~?"),$D$6:$D$55,D13)&lt;10,"対象外",IF(H13&gt;=5,"済","未達")))))</f>
        <v/>
      </c>
      <c r="K13" s="4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6">
        <f>IF(COUNTA(L13:Z13)=0,"",COUNTA(L13:Z13))</f>
        <v/>
      </c>
      <c r="AB13" s="4">
        <f>IF(COUNT(E13:F13)=0,0,1)</f>
        <v/>
      </c>
      <c r="AC13" s="4">
        <f>IF(A13="","","ID:"&amp;A13)</f>
        <v/>
      </c>
    </row>
    <row r="14" ht="30" customHeight="1">
      <c r="A14" s="3" t="n"/>
      <c r="B14" s="4" t="n"/>
      <c r="C14" s="5" t="n"/>
      <c r="D14" s="5" t="n"/>
      <c r="E14" s="4" t="n"/>
      <c r="F14" s="4" t="n"/>
      <c r="G14" s="4">
        <f>IF(OR(A14="",D14=""),"",IF(SUMIFS($AB$6:$AB$55,$AC$6:$AC$55,"="&amp;SUBSTITUTE(SUBSTITUTE(SUBSTITUTE(AC14,"~","~~"),"*","~*"),"?","~?"),$D$6:$D$55,D14)=1,SUMIFS($E$6:$E$55,$AC$6:$AC$55,"="&amp;SUBSTITUTE(SUBSTITUTE(SUBSTITUTE(AC14,"~","~~"),"*","~*"),"?","~?"),$D$6:$D$55,D14)+SUMIFS($F$6:$F$55,$AC$6:$AC$55,"="&amp;SUBSTITUTE(SUBSTITUTE(SUBSTITUTE(AC14,"~","~~"),"*","~*"),"?","~?"),$D$6:$D$55,D14),""))</f>
        <v/>
      </c>
      <c r="H14" s="6">
        <f>IF(OR(A14="",D14=""),"",SUMIFS($AA$6:$AA$55,$AC$6:$AC$55,"="&amp;SUBSTITUTE(SUBSTITUTE(SUBSTITUTE(AC14,"~","~~"),"*","~*"),"?","~?"),$D$6:$D$55,D14))</f>
        <v/>
      </c>
      <c r="I14" s="6">
        <f>IF(G14="","",G14-H14)</f>
        <v/>
      </c>
      <c r="J14" s="7">
        <f>IF(COUNTA(A14:F14,L14:Z14)=0,"",IF(OR(A14="",D14=""),"ID・基準日要入力",IF(SUMIFS($AB$6:$AB$55,$AC$6:$AC$55,"="&amp;SUBSTITUTE(SUBSTITUTE(SUBSTITUTE(AC14,"~","~~"),"*","~*"),"?","~?"),$D$6:$D$55,D14)&lt;&gt;1,"付与は1行に入力",IF(SUMIFS($F$6:$F$55,$AC$6:$AC$55,"="&amp;SUBSTITUTE(SUBSTITUTE(SUBSTITUTE(AC14,"~","~~"),"*","~*"),"?","~?"),$D$6:$D$55,D14)&lt;10,"対象外",IF(H14&gt;=5,"済","未達")))))</f>
        <v/>
      </c>
      <c r="K14" s="4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6">
        <f>IF(COUNTA(L14:Z14)=0,"",COUNTA(L14:Z14))</f>
        <v/>
      </c>
      <c r="AB14" s="4">
        <f>IF(COUNT(E14:F14)=0,0,1)</f>
        <v/>
      </c>
      <c r="AC14" s="4">
        <f>IF(A14="","","ID:"&amp;A14)</f>
        <v/>
      </c>
    </row>
    <row r="15" ht="30" customHeight="1">
      <c r="A15" s="3" t="n"/>
      <c r="B15" s="4" t="n"/>
      <c r="C15" s="5" t="n"/>
      <c r="D15" s="5" t="n"/>
      <c r="E15" s="4" t="n"/>
      <c r="F15" s="4" t="n"/>
      <c r="G15" s="4">
        <f>IF(OR(A15="",D15=""),"",IF(SUMIFS($AB$6:$AB$55,$AC$6:$AC$55,"="&amp;SUBSTITUTE(SUBSTITUTE(SUBSTITUTE(AC15,"~","~~"),"*","~*"),"?","~?"),$D$6:$D$55,D15)=1,SUMIFS($E$6:$E$55,$AC$6:$AC$55,"="&amp;SUBSTITUTE(SUBSTITUTE(SUBSTITUTE(AC15,"~","~~"),"*","~*"),"?","~?"),$D$6:$D$55,D15)+SUMIFS($F$6:$F$55,$AC$6:$AC$55,"="&amp;SUBSTITUTE(SUBSTITUTE(SUBSTITUTE(AC15,"~","~~"),"*","~*"),"?","~?"),$D$6:$D$55,D15),""))</f>
        <v/>
      </c>
      <c r="H15" s="6">
        <f>IF(OR(A15="",D15=""),"",SUMIFS($AA$6:$AA$55,$AC$6:$AC$55,"="&amp;SUBSTITUTE(SUBSTITUTE(SUBSTITUTE(AC15,"~","~~"),"*","~*"),"?","~?"),$D$6:$D$55,D15))</f>
        <v/>
      </c>
      <c r="I15" s="6">
        <f>IF(G15="","",G15-H15)</f>
        <v/>
      </c>
      <c r="J15" s="7">
        <f>IF(COUNTA(A15:F15,L15:Z15)=0,"",IF(OR(A15="",D15=""),"ID・基準日要入力",IF(SUMIFS($AB$6:$AB$55,$AC$6:$AC$55,"="&amp;SUBSTITUTE(SUBSTITUTE(SUBSTITUTE(AC15,"~","~~"),"*","~*"),"?","~?"),$D$6:$D$55,D15)&lt;&gt;1,"付与は1行に入力",IF(SUMIFS($F$6:$F$55,$AC$6:$AC$55,"="&amp;SUBSTITUTE(SUBSTITUTE(SUBSTITUTE(AC15,"~","~~"),"*","~*"),"?","~?"),$D$6:$D$55,D15)&lt;10,"対象外",IF(H15&gt;=5,"済","未達")))))</f>
        <v/>
      </c>
      <c r="K15" s="4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6">
        <f>IF(COUNTA(L15:Z15)=0,"",COUNTA(L15:Z15))</f>
        <v/>
      </c>
      <c r="AB15" s="4">
        <f>IF(COUNT(E15:F15)=0,0,1)</f>
        <v/>
      </c>
      <c r="AC15" s="4">
        <f>IF(A15="","","ID:"&amp;A15)</f>
        <v/>
      </c>
    </row>
    <row r="16" ht="30" customHeight="1">
      <c r="A16" s="3" t="n"/>
      <c r="B16" s="4" t="n"/>
      <c r="C16" s="5" t="n"/>
      <c r="D16" s="5" t="n"/>
      <c r="E16" s="4" t="n"/>
      <c r="F16" s="4" t="n"/>
      <c r="G16" s="4">
        <f>IF(OR(A16="",D16=""),"",IF(SUMIFS($AB$6:$AB$55,$AC$6:$AC$55,"="&amp;SUBSTITUTE(SUBSTITUTE(SUBSTITUTE(AC16,"~","~~"),"*","~*"),"?","~?"),$D$6:$D$55,D16)=1,SUMIFS($E$6:$E$55,$AC$6:$AC$55,"="&amp;SUBSTITUTE(SUBSTITUTE(SUBSTITUTE(AC16,"~","~~"),"*","~*"),"?","~?"),$D$6:$D$55,D16)+SUMIFS($F$6:$F$55,$AC$6:$AC$55,"="&amp;SUBSTITUTE(SUBSTITUTE(SUBSTITUTE(AC16,"~","~~"),"*","~*"),"?","~?"),$D$6:$D$55,D16),""))</f>
        <v/>
      </c>
      <c r="H16" s="6">
        <f>IF(OR(A16="",D16=""),"",SUMIFS($AA$6:$AA$55,$AC$6:$AC$55,"="&amp;SUBSTITUTE(SUBSTITUTE(SUBSTITUTE(AC16,"~","~~"),"*","~*"),"?","~?"),$D$6:$D$55,D16))</f>
        <v/>
      </c>
      <c r="I16" s="6">
        <f>IF(G16="","",G16-H16)</f>
        <v/>
      </c>
      <c r="J16" s="7">
        <f>IF(COUNTA(A16:F16,L16:Z16)=0,"",IF(OR(A16="",D16=""),"ID・基準日要入力",IF(SUMIFS($AB$6:$AB$55,$AC$6:$AC$55,"="&amp;SUBSTITUTE(SUBSTITUTE(SUBSTITUTE(AC16,"~","~~"),"*","~*"),"?","~?"),$D$6:$D$55,D16)&lt;&gt;1,"付与は1行に入力",IF(SUMIFS($F$6:$F$55,$AC$6:$AC$55,"="&amp;SUBSTITUTE(SUBSTITUTE(SUBSTITUTE(AC16,"~","~~"),"*","~*"),"?","~?"),$D$6:$D$55,D16)&lt;10,"対象外",IF(H16&gt;=5,"済","未達")))))</f>
        <v/>
      </c>
      <c r="K16" s="4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6">
        <f>IF(COUNTA(L16:Z16)=0,"",COUNTA(L16:Z16))</f>
        <v/>
      </c>
      <c r="AB16" s="4">
        <f>IF(COUNT(E16:F16)=0,0,1)</f>
        <v/>
      </c>
      <c r="AC16" s="4">
        <f>IF(A16="","","ID:"&amp;A16)</f>
        <v/>
      </c>
    </row>
    <row r="17" ht="30" customHeight="1">
      <c r="A17" s="3" t="n"/>
      <c r="B17" s="4" t="n"/>
      <c r="C17" s="5" t="n"/>
      <c r="D17" s="5" t="n"/>
      <c r="E17" s="4" t="n"/>
      <c r="F17" s="4" t="n"/>
      <c r="G17" s="4">
        <f>IF(OR(A17="",D17=""),"",IF(SUMIFS($AB$6:$AB$55,$AC$6:$AC$55,"="&amp;SUBSTITUTE(SUBSTITUTE(SUBSTITUTE(AC17,"~","~~"),"*","~*"),"?","~?"),$D$6:$D$55,D17)=1,SUMIFS($E$6:$E$55,$AC$6:$AC$55,"="&amp;SUBSTITUTE(SUBSTITUTE(SUBSTITUTE(AC17,"~","~~"),"*","~*"),"?","~?"),$D$6:$D$55,D17)+SUMIFS($F$6:$F$55,$AC$6:$AC$55,"="&amp;SUBSTITUTE(SUBSTITUTE(SUBSTITUTE(AC17,"~","~~"),"*","~*"),"?","~?"),$D$6:$D$55,D17),""))</f>
        <v/>
      </c>
      <c r="H17" s="6">
        <f>IF(OR(A17="",D17=""),"",SUMIFS($AA$6:$AA$55,$AC$6:$AC$55,"="&amp;SUBSTITUTE(SUBSTITUTE(SUBSTITUTE(AC17,"~","~~"),"*","~*"),"?","~?"),$D$6:$D$55,D17))</f>
        <v/>
      </c>
      <c r="I17" s="6">
        <f>IF(G17="","",G17-H17)</f>
        <v/>
      </c>
      <c r="J17" s="7">
        <f>IF(COUNTA(A17:F17,L17:Z17)=0,"",IF(OR(A17="",D17=""),"ID・基準日要入力",IF(SUMIFS($AB$6:$AB$55,$AC$6:$AC$55,"="&amp;SUBSTITUTE(SUBSTITUTE(SUBSTITUTE(AC17,"~","~~"),"*","~*"),"?","~?"),$D$6:$D$55,D17)&lt;&gt;1,"付与は1行に入力",IF(SUMIFS($F$6:$F$55,$AC$6:$AC$55,"="&amp;SUBSTITUTE(SUBSTITUTE(SUBSTITUTE(AC17,"~","~~"),"*","~*"),"?","~?"),$D$6:$D$55,D17)&lt;10,"対象外",IF(H17&gt;=5,"済","未達")))))</f>
        <v/>
      </c>
      <c r="K17" s="4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6">
        <f>IF(COUNTA(L17:Z17)=0,"",COUNTA(L17:Z17))</f>
        <v/>
      </c>
      <c r="AB17" s="4">
        <f>IF(COUNT(E17:F17)=0,0,1)</f>
        <v/>
      </c>
      <c r="AC17" s="4">
        <f>IF(A17="","","ID:"&amp;A17)</f>
        <v/>
      </c>
    </row>
    <row r="18" ht="30" customHeight="1">
      <c r="A18" s="3" t="n"/>
      <c r="B18" s="4" t="n"/>
      <c r="C18" s="5" t="n"/>
      <c r="D18" s="5" t="n"/>
      <c r="E18" s="4" t="n"/>
      <c r="F18" s="4" t="n"/>
      <c r="G18" s="4">
        <f>IF(OR(A18="",D18=""),"",IF(SUMIFS($AB$6:$AB$55,$AC$6:$AC$55,"="&amp;SUBSTITUTE(SUBSTITUTE(SUBSTITUTE(AC18,"~","~~"),"*","~*"),"?","~?"),$D$6:$D$55,D18)=1,SUMIFS($E$6:$E$55,$AC$6:$AC$55,"="&amp;SUBSTITUTE(SUBSTITUTE(SUBSTITUTE(AC18,"~","~~"),"*","~*"),"?","~?"),$D$6:$D$55,D18)+SUMIFS($F$6:$F$55,$AC$6:$AC$55,"="&amp;SUBSTITUTE(SUBSTITUTE(SUBSTITUTE(AC18,"~","~~"),"*","~*"),"?","~?"),$D$6:$D$55,D18),""))</f>
        <v/>
      </c>
      <c r="H18" s="6">
        <f>IF(OR(A18="",D18=""),"",SUMIFS($AA$6:$AA$55,$AC$6:$AC$55,"="&amp;SUBSTITUTE(SUBSTITUTE(SUBSTITUTE(AC18,"~","~~"),"*","~*"),"?","~?"),$D$6:$D$55,D18))</f>
        <v/>
      </c>
      <c r="I18" s="6">
        <f>IF(G18="","",G18-H18)</f>
        <v/>
      </c>
      <c r="J18" s="7">
        <f>IF(COUNTA(A18:F18,L18:Z18)=0,"",IF(OR(A18="",D18=""),"ID・基準日要入力",IF(SUMIFS($AB$6:$AB$55,$AC$6:$AC$55,"="&amp;SUBSTITUTE(SUBSTITUTE(SUBSTITUTE(AC18,"~","~~"),"*","~*"),"?","~?"),$D$6:$D$55,D18)&lt;&gt;1,"付与は1行に入力",IF(SUMIFS($F$6:$F$55,$AC$6:$AC$55,"="&amp;SUBSTITUTE(SUBSTITUTE(SUBSTITUTE(AC18,"~","~~"),"*","~*"),"?","~?"),$D$6:$D$55,D18)&lt;10,"対象外",IF(H18&gt;=5,"済","未達")))))</f>
        <v/>
      </c>
      <c r="K18" s="4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6">
        <f>IF(COUNTA(L18:Z18)=0,"",COUNTA(L18:Z18))</f>
        <v/>
      </c>
      <c r="AB18" s="4">
        <f>IF(COUNT(E18:F18)=0,0,1)</f>
        <v/>
      </c>
      <c r="AC18" s="4">
        <f>IF(A18="","","ID:"&amp;A18)</f>
        <v/>
      </c>
    </row>
    <row r="19" ht="30" customHeight="1">
      <c r="A19" s="3" t="n"/>
      <c r="B19" s="4" t="n"/>
      <c r="C19" s="5" t="n"/>
      <c r="D19" s="5" t="n"/>
      <c r="E19" s="4" t="n"/>
      <c r="F19" s="4" t="n"/>
      <c r="G19" s="4">
        <f>IF(OR(A19="",D19=""),"",IF(SUMIFS($AB$6:$AB$55,$AC$6:$AC$55,"="&amp;SUBSTITUTE(SUBSTITUTE(SUBSTITUTE(AC19,"~","~~"),"*","~*"),"?","~?"),$D$6:$D$55,D19)=1,SUMIFS($E$6:$E$55,$AC$6:$AC$55,"="&amp;SUBSTITUTE(SUBSTITUTE(SUBSTITUTE(AC19,"~","~~"),"*","~*"),"?","~?"),$D$6:$D$55,D19)+SUMIFS($F$6:$F$55,$AC$6:$AC$55,"="&amp;SUBSTITUTE(SUBSTITUTE(SUBSTITUTE(AC19,"~","~~"),"*","~*"),"?","~?"),$D$6:$D$55,D19),""))</f>
        <v/>
      </c>
      <c r="H19" s="6">
        <f>IF(OR(A19="",D19=""),"",SUMIFS($AA$6:$AA$55,$AC$6:$AC$55,"="&amp;SUBSTITUTE(SUBSTITUTE(SUBSTITUTE(AC19,"~","~~"),"*","~*"),"?","~?"),$D$6:$D$55,D19))</f>
        <v/>
      </c>
      <c r="I19" s="6">
        <f>IF(G19="","",G19-H19)</f>
        <v/>
      </c>
      <c r="J19" s="7">
        <f>IF(COUNTA(A19:F19,L19:Z19)=0,"",IF(OR(A19="",D19=""),"ID・基準日要入力",IF(SUMIFS($AB$6:$AB$55,$AC$6:$AC$55,"="&amp;SUBSTITUTE(SUBSTITUTE(SUBSTITUTE(AC19,"~","~~"),"*","~*"),"?","~?"),$D$6:$D$55,D19)&lt;&gt;1,"付与は1行に入力",IF(SUMIFS($F$6:$F$55,$AC$6:$AC$55,"="&amp;SUBSTITUTE(SUBSTITUTE(SUBSTITUTE(AC19,"~","~~"),"*","~*"),"?","~?"),$D$6:$D$55,D19)&lt;10,"対象外",IF(H19&gt;=5,"済","未達")))))</f>
        <v/>
      </c>
      <c r="K19" s="4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6">
        <f>IF(COUNTA(L19:Z19)=0,"",COUNTA(L19:Z19))</f>
        <v/>
      </c>
      <c r="AB19" s="4">
        <f>IF(COUNT(E19:F19)=0,0,1)</f>
        <v/>
      </c>
      <c r="AC19" s="4">
        <f>IF(A19="","","ID:"&amp;A19)</f>
        <v/>
      </c>
    </row>
    <row r="20" ht="30" customHeight="1">
      <c r="A20" s="3" t="n"/>
      <c r="B20" s="4" t="n"/>
      <c r="C20" s="5" t="n"/>
      <c r="D20" s="5" t="n"/>
      <c r="E20" s="4" t="n"/>
      <c r="F20" s="4" t="n"/>
      <c r="G20" s="4">
        <f>IF(OR(A20="",D20=""),"",IF(SUMIFS($AB$6:$AB$55,$AC$6:$AC$55,"="&amp;SUBSTITUTE(SUBSTITUTE(SUBSTITUTE(AC20,"~","~~"),"*","~*"),"?","~?"),$D$6:$D$55,D20)=1,SUMIFS($E$6:$E$55,$AC$6:$AC$55,"="&amp;SUBSTITUTE(SUBSTITUTE(SUBSTITUTE(AC20,"~","~~"),"*","~*"),"?","~?"),$D$6:$D$55,D20)+SUMIFS($F$6:$F$55,$AC$6:$AC$55,"="&amp;SUBSTITUTE(SUBSTITUTE(SUBSTITUTE(AC20,"~","~~"),"*","~*"),"?","~?"),$D$6:$D$55,D20),""))</f>
        <v/>
      </c>
      <c r="H20" s="6">
        <f>IF(OR(A20="",D20=""),"",SUMIFS($AA$6:$AA$55,$AC$6:$AC$55,"="&amp;SUBSTITUTE(SUBSTITUTE(SUBSTITUTE(AC20,"~","~~"),"*","~*"),"?","~?"),$D$6:$D$55,D20))</f>
        <v/>
      </c>
      <c r="I20" s="6">
        <f>IF(G20="","",G20-H20)</f>
        <v/>
      </c>
      <c r="J20" s="7">
        <f>IF(COUNTA(A20:F20,L20:Z20)=0,"",IF(OR(A20="",D20=""),"ID・基準日要入力",IF(SUMIFS($AB$6:$AB$55,$AC$6:$AC$55,"="&amp;SUBSTITUTE(SUBSTITUTE(SUBSTITUTE(AC20,"~","~~"),"*","~*"),"?","~?"),$D$6:$D$55,D20)&lt;&gt;1,"付与は1行に入力",IF(SUMIFS($F$6:$F$55,$AC$6:$AC$55,"="&amp;SUBSTITUTE(SUBSTITUTE(SUBSTITUTE(AC20,"~","~~"),"*","~*"),"?","~?"),$D$6:$D$55,D20)&lt;10,"対象外",IF(H20&gt;=5,"済","未達")))))</f>
        <v/>
      </c>
      <c r="K20" s="4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6">
        <f>IF(COUNTA(L20:Z20)=0,"",COUNTA(L20:Z20))</f>
        <v/>
      </c>
      <c r="AB20" s="4">
        <f>IF(COUNT(E20:F20)=0,0,1)</f>
        <v/>
      </c>
      <c r="AC20" s="4">
        <f>IF(A20="","","ID:"&amp;A20)</f>
        <v/>
      </c>
    </row>
    <row r="21" ht="30" customHeight="1">
      <c r="A21" s="3" t="n"/>
      <c r="B21" s="4" t="n"/>
      <c r="C21" s="5" t="n"/>
      <c r="D21" s="5" t="n"/>
      <c r="E21" s="4" t="n"/>
      <c r="F21" s="4" t="n"/>
      <c r="G21" s="4">
        <f>IF(OR(A21="",D21=""),"",IF(SUMIFS($AB$6:$AB$55,$AC$6:$AC$55,"="&amp;SUBSTITUTE(SUBSTITUTE(SUBSTITUTE(AC21,"~","~~"),"*","~*"),"?","~?"),$D$6:$D$55,D21)=1,SUMIFS($E$6:$E$55,$AC$6:$AC$55,"="&amp;SUBSTITUTE(SUBSTITUTE(SUBSTITUTE(AC21,"~","~~"),"*","~*"),"?","~?"),$D$6:$D$55,D21)+SUMIFS($F$6:$F$55,$AC$6:$AC$55,"="&amp;SUBSTITUTE(SUBSTITUTE(SUBSTITUTE(AC21,"~","~~"),"*","~*"),"?","~?"),$D$6:$D$55,D21),""))</f>
        <v/>
      </c>
      <c r="H21" s="6">
        <f>IF(OR(A21="",D21=""),"",SUMIFS($AA$6:$AA$55,$AC$6:$AC$55,"="&amp;SUBSTITUTE(SUBSTITUTE(SUBSTITUTE(AC21,"~","~~"),"*","~*"),"?","~?"),$D$6:$D$55,D21))</f>
        <v/>
      </c>
      <c r="I21" s="6">
        <f>IF(G21="","",G21-H21)</f>
        <v/>
      </c>
      <c r="J21" s="7">
        <f>IF(COUNTA(A21:F21,L21:Z21)=0,"",IF(OR(A21="",D21=""),"ID・基準日要入力",IF(SUMIFS($AB$6:$AB$55,$AC$6:$AC$55,"="&amp;SUBSTITUTE(SUBSTITUTE(SUBSTITUTE(AC21,"~","~~"),"*","~*"),"?","~?"),$D$6:$D$55,D21)&lt;&gt;1,"付与は1行に入力",IF(SUMIFS($F$6:$F$55,$AC$6:$AC$55,"="&amp;SUBSTITUTE(SUBSTITUTE(SUBSTITUTE(AC21,"~","~~"),"*","~*"),"?","~?"),$D$6:$D$55,D21)&lt;10,"対象外",IF(H21&gt;=5,"済","未達")))))</f>
        <v/>
      </c>
      <c r="K21" s="4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6">
        <f>IF(COUNTA(L21:Z21)=0,"",COUNTA(L21:Z21))</f>
        <v/>
      </c>
      <c r="AB21" s="4">
        <f>IF(COUNT(E21:F21)=0,0,1)</f>
        <v/>
      </c>
      <c r="AC21" s="4">
        <f>IF(A21="","","ID:"&amp;A21)</f>
        <v/>
      </c>
    </row>
    <row r="22" ht="30" customHeight="1">
      <c r="A22" s="3" t="n"/>
      <c r="B22" s="4" t="n"/>
      <c r="C22" s="5" t="n"/>
      <c r="D22" s="5" t="n"/>
      <c r="E22" s="4" t="n"/>
      <c r="F22" s="4" t="n"/>
      <c r="G22" s="4">
        <f>IF(OR(A22="",D22=""),"",IF(SUMIFS($AB$6:$AB$55,$AC$6:$AC$55,"="&amp;SUBSTITUTE(SUBSTITUTE(SUBSTITUTE(AC22,"~","~~"),"*","~*"),"?","~?"),$D$6:$D$55,D22)=1,SUMIFS($E$6:$E$55,$AC$6:$AC$55,"="&amp;SUBSTITUTE(SUBSTITUTE(SUBSTITUTE(AC22,"~","~~"),"*","~*"),"?","~?"),$D$6:$D$55,D22)+SUMIFS($F$6:$F$55,$AC$6:$AC$55,"="&amp;SUBSTITUTE(SUBSTITUTE(SUBSTITUTE(AC22,"~","~~"),"*","~*"),"?","~?"),$D$6:$D$55,D22),""))</f>
        <v/>
      </c>
      <c r="H22" s="6">
        <f>IF(OR(A22="",D22=""),"",SUMIFS($AA$6:$AA$55,$AC$6:$AC$55,"="&amp;SUBSTITUTE(SUBSTITUTE(SUBSTITUTE(AC22,"~","~~"),"*","~*"),"?","~?"),$D$6:$D$55,D22))</f>
        <v/>
      </c>
      <c r="I22" s="6">
        <f>IF(G22="","",G22-H22)</f>
        <v/>
      </c>
      <c r="J22" s="7">
        <f>IF(COUNTA(A22:F22,L22:Z22)=0,"",IF(OR(A22="",D22=""),"ID・基準日要入力",IF(SUMIFS($AB$6:$AB$55,$AC$6:$AC$55,"="&amp;SUBSTITUTE(SUBSTITUTE(SUBSTITUTE(AC22,"~","~~"),"*","~*"),"?","~?"),$D$6:$D$55,D22)&lt;&gt;1,"付与は1行に入力",IF(SUMIFS($F$6:$F$55,$AC$6:$AC$55,"="&amp;SUBSTITUTE(SUBSTITUTE(SUBSTITUTE(AC22,"~","~~"),"*","~*"),"?","~?"),$D$6:$D$55,D22)&lt;10,"対象外",IF(H22&gt;=5,"済","未達")))))</f>
        <v/>
      </c>
      <c r="K22" s="4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6">
        <f>IF(COUNTA(L22:Z22)=0,"",COUNTA(L22:Z22))</f>
        <v/>
      </c>
      <c r="AB22" s="4">
        <f>IF(COUNT(E22:F22)=0,0,1)</f>
        <v/>
      </c>
      <c r="AC22" s="4">
        <f>IF(A22="","","ID:"&amp;A22)</f>
        <v/>
      </c>
    </row>
    <row r="23" ht="30" customHeight="1">
      <c r="A23" s="3" t="n"/>
      <c r="B23" s="4" t="n"/>
      <c r="C23" s="5" t="n"/>
      <c r="D23" s="5" t="n"/>
      <c r="E23" s="4" t="n"/>
      <c r="F23" s="4" t="n"/>
      <c r="G23" s="4">
        <f>IF(OR(A23="",D23=""),"",IF(SUMIFS($AB$6:$AB$55,$AC$6:$AC$55,"="&amp;SUBSTITUTE(SUBSTITUTE(SUBSTITUTE(AC23,"~","~~"),"*","~*"),"?","~?"),$D$6:$D$55,D23)=1,SUMIFS($E$6:$E$55,$AC$6:$AC$55,"="&amp;SUBSTITUTE(SUBSTITUTE(SUBSTITUTE(AC23,"~","~~"),"*","~*"),"?","~?"),$D$6:$D$55,D23)+SUMIFS($F$6:$F$55,$AC$6:$AC$55,"="&amp;SUBSTITUTE(SUBSTITUTE(SUBSTITUTE(AC23,"~","~~"),"*","~*"),"?","~?"),$D$6:$D$55,D23),""))</f>
        <v/>
      </c>
      <c r="H23" s="6">
        <f>IF(OR(A23="",D23=""),"",SUMIFS($AA$6:$AA$55,$AC$6:$AC$55,"="&amp;SUBSTITUTE(SUBSTITUTE(SUBSTITUTE(AC23,"~","~~"),"*","~*"),"?","~?"),$D$6:$D$55,D23))</f>
        <v/>
      </c>
      <c r="I23" s="6">
        <f>IF(G23="","",G23-H23)</f>
        <v/>
      </c>
      <c r="J23" s="7">
        <f>IF(COUNTA(A23:F23,L23:Z23)=0,"",IF(OR(A23="",D23=""),"ID・基準日要入力",IF(SUMIFS($AB$6:$AB$55,$AC$6:$AC$55,"="&amp;SUBSTITUTE(SUBSTITUTE(SUBSTITUTE(AC23,"~","~~"),"*","~*"),"?","~?"),$D$6:$D$55,D23)&lt;&gt;1,"付与は1行に入力",IF(SUMIFS($F$6:$F$55,$AC$6:$AC$55,"="&amp;SUBSTITUTE(SUBSTITUTE(SUBSTITUTE(AC23,"~","~~"),"*","~*"),"?","~?"),$D$6:$D$55,D23)&lt;10,"対象外",IF(H23&gt;=5,"済","未達")))))</f>
        <v/>
      </c>
      <c r="K23" s="4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6">
        <f>IF(COUNTA(L23:Z23)=0,"",COUNTA(L23:Z23))</f>
        <v/>
      </c>
      <c r="AB23" s="4">
        <f>IF(COUNT(E23:F23)=0,0,1)</f>
        <v/>
      </c>
      <c r="AC23" s="4">
        <f>IF(A23="","","ID:"&amp;A23)</f>
        <v/>
      </c>
    </row>
    <row r="24" ht="30" customHeight="1">
      <c r="A24" s="3" t="n"/>
      <c r="B24" s="4" t="n"/>
      <c r="C24" s="5" t="n"/>
      <c r="D24" s="5" t="n"/>
      <c r="E24" s="4" t="n"/>
      <c r="F24" s="4" t="n"/>
      <c r="G24" s="4">
        <f>IF(OR(A24="",D24=""),"",IF(SUMIFS($AB$6:$AB$55,$AC$6:$AC$55,"="&amp;SUBSTITUTE(SUBSTITUTE(SUBSTITUTE(AC24,"~","~~"),"*","~*"),"?","~?"),$D$6:$D$55,D24)=1,SUMIFS($E$6:$E$55,$AC$6:$AC$55,"="&amp;SUBSTITUTE(SUBSTITUTE(SUBSTITUTE(AC24,"~","~~"),"*","~*"),"?","~?"),$D$6:$D$55,D24)+SUMIFS($F$6:$F$55,$AC$6:$AC$55,"="&amp;SUBSTITUTE(SUBSTITUTE(SUBSTITUTE(AC24,"~","~~"),"*","~*"),"?","~?"),$D$6:$D$55,D24),""))</f>
        <v/>
      </c>
      <c r="H24" s="6">
        <f>IF(OR(A24="",D24=""),"",SUMIFS($AA$6:$AA$55,$AC$6:$AC$55,"="&amp;SUBSTITUTE(SUBSTITUTE(SUBSTITUTE(AC24,"~","~~"),"*","~*"),"?","~?"),$D$6:$D$55,D24))</f>
        <v/>
      </c>
      <c r="I24" s="6">
        <f>IF(G24="","",G24-H24)</f>
        <v/>
      </c>
      <c r="J24" s="7">
        <f>IF(COUNTA(A24:F24,L24:Z24)=0,"",IF(OR(A24="",D24=""),"ID・基準日要入力",IF(SUMIFS($AB$6:$AB$55,$AC$6:$AC$55,"="&amp;SUBSTITUTE(SUBSTITUTE(SUBSTITUTE(AC24,"~","~~"),"*","~*"),"?","~?"),$D$6:$D$55,D24)&lt;&gt;1,"付与は1行に入力",IF(SUMIFS($F$6:$F$55,$AC$6:$AC$55,"="&amp;SUBSTITUTE(SUBSTITUTE(SUBSTITUTE(AC24,"~","~~"),"*","~*"),"?","~?"),$D$6:$D$55,D24)&lt;10,"対象外",IF(H24&gt;=5,"済","未達")))))</f>
        <v/>
      </c>
      <c r="K24" s="4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6">
        <f>IF(COUNTA(L24:Z24)=0,"",COUNTA(L24:Z24))</f>
        <v/>
      </c>
      <c r="AB24" s="4">
        <f>IF(COUNT(E24:F24)=0,0,1)</f>
        <v/>
      </c>
      <c r="AC24" s="4">
        <f>IF(A24="","","ID:"&amp;A24)</f>
        <v/>
      </c>
    </row>
    <row r="25" ht="30" customHeight="1">
      <c r="A25" s="3" t="n"/>
      <c r="B25" s="4" t="n"/>
      <c r="C25" s="5" t="n"/>
      <c r="D25" s="5" t="n"/>
      <c r="E25" s="4" t="n"/>
      <c r="F25" s="4" t="n"/>
      <c r="G25" s="4">
        <f>IF(OR(A25="",D25=""),"",IF(SUMIFS($AB$6:$AB$55,$AC$6:$AC$55,"="&amp;SUBSTITUTE(SUBSTITUTE(SUBSTITUTE(AC25,"~","~~"),"*","~*"),"?","~?"),$D$6:$D$55,D25)=1,SUMIFS($E$6:$E$55,$AC$6:$AC$55,"="&amp;SUBSTITUTE(SUBSTITUTE(SUBSTITUTE(AC25,"~","~~"),"*","~*"),"?","~?"),$D$6:$D$55,D25)+SUMIFS($F$6:$F$55,$AC$6:$AC$55,"="&amp;SUBSTITUTE(SUBSTITUTE(SUBSTITUTE(AC25,"~","~~"),"*","~*"),"?","~?"),$D$6:$D$55,D25),""))</f>
        <v/>
      </c>
      <c r="H25" s="6">
        <f>IF(OR(A25="",D25=""),"",SUMIFS($AA$6:$AA$55,$AC$6:$AC$55,"="&amp;SUBSTITUTE(SUBSTITUTE(SUBSTITUTE(AC25,"~","~~"),"*","~*"),"?","~?"),$D$6:$D$55,D25))</f>
        <v/>
      </c>
      <c r="I25" s="6">
        <f>IF(G25="","",G25-H25)</f>
        <v/>
      </c>
      <c r="J25" s="7">
        <f>IF(COUNTA(A25:F25,L25:Z25)=0,"",IF(OR(A25="",D25=""),"ID・基準日要入力",IF(SUMIFS($AB$6:$AB$55,$AC$6:$AC$55,"="&amp;SUBSTITUTE(SUBSTITUTE(SUBSTITUTE(AC25,"~","~~"),"*","~*"),"?","~?"),$D$6:$D$55,D25)&lt;&gt;1,"付与は1行に入力",IF(SUMIFS($F$6:$F$55,$AC$6:$AC$55,"="&amp;SUBSTITUTE(SUBSTITUTE(SUBSTITUTE(AC25,"~","~~"),"*","~*"),"?","~?"),$D$6:$D$55,D25)&lt;10,"対象外",IF(H25&gt;=5,"済","未達")))))</f>
        <v/>
      </c>
      <c r="K25" s="4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6">
        <f>IF(COUNTA(L25:Z25)=0,"",COUNTA(L25:Z25))</f>
        <v/>
      </c>
      <c r="AB25" s="4">
        <f>IF(COUNT(E25:F25)=0,0,1)</f>
        <v/>
      </c>
      <c r="AC25" s="4">
        <f>IF(A25="","","ID:"&amp;A25)</f>
        <v/>
      </c>
    </row>
    <row r="26" ht="30" customHeight="1">
      <c r="A26" s="3" t="n"/>
      <c r="B26" s="4" t="n"/>
      <c r="C26" s="5" t="n"/>
      <c r="D26" s="5" t="n"/>
      <c r="E26" s="4" t="n"/>
      <c r="F26" s="4" t="n"/>
      <c r="G26" s="4">
        <f>IF(OR(A26="",D26=""),"",IF(SUMIFS($AB$6:$AB$55,$AC$6:$AC$55,"="&amp;SUBSTITUTE(SUBSTITUTE(SUBSTITUTE(AC26,"~","~~"),"*","~*"),"?","~?"),$D$6:$D$55,D26)=1,SUMIFS($E$6:$E$55,$AC$6:$AC$55,"="&amp;SUBSTITUTE(SUBSTITUTE(SUBSTITUTE(AC26,"~","~~"),"*","~*"),"?","~?"),$D$6:$D$55,D26)+SUMIFS($F$6:$F$55,$AC$6:$AC$55,"="&amp;SUBSTITUTE(SUBSTITUTE(SUBSTITUTE(AC26,"~","~~"),"*","~*"),"?","~?"),$D$6:$D$55,D26),""))</f>
        <v/>
      </c>
      <c r="H26" s="6">
        <f>IF(OR(A26="",D26=""),"",SUMIFS($AA$6:$AA$55,$AC$6:$AC$55,"="&amp;SUBSTITUTE(SUBSTITUTE(SUBSTITUTE(AC26,"~","~~"),"*","~*"),"?","~?"),$D$6:$D$55,D26))</f>
        <v/>
      </c>
      <c r="I26" s="6">
        <f>IF(G26="","",G26-H26)</f>
        <v/>
      </c>
      <c r="J26" s="7">
        <f>IF(COUNTA(A26:F26,L26:Z26)=0,"",IF(OR(A26="",D26=""),"ID・基準日要入力",IF(SUMIFS($AB$6:$AB$55,$AC$6:$AC$55,"="&amp;SUBSTITUTE(SUBSTITUTE(SUBSTITUTE(AC26,"~","~~"),"*","~*"),"?","~?"),$D$6:$D$55,D26)&lt;&gt;1,"付与は1行に入力",IF(SUMIFS($F$6:$F$55,$AC$6:$AC$55,"="&amp;SUBSTITUTE(SUBSTITUTE(SUBSTITUTE(AC26,"~","~~"),"*","~*"),"?","~?"),$D$6:$D$55,D26)&lt;10,"対象外",IF(H26&gt;=5,"済","未達")))))</f>
        <v/>
      </c>
      <c r="K26" s="4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6">
        <f>IF(COUNTA(L26:Z26)=0,"",COUNTA(L26:Z26))</f>
        <v/>
      </c>
      <c r="AB26" s="4">
        <f>IF(COUNT(E26:F26)=0,0,1)</f>
        <v/>
      </c>
      <c r="AC26" s="4">
        <f>IF(A26="","","ID:"&amp;A26)</f>
        <v/>
      </c>
    </row>
    <row r="27" ht="30" customHeight="1">
      <c r="A27" s="3" t="n"/>
      <c r="B27" s="4" t="n"/>
      <c r="C27" s="5" t="n"/>
      <c r="D27" s="5" t="n"/>
      <c r="E27" s="4" t="n"/>
      <c r="F27" s="4" t="n"/>
      <c r="G27" s="4">
        <f>IF(OR(A27="",D27=""),"",IF(SUMIFS($AB$6:$AB$55,$AC$6:$AC$55,"="&amp;SUBSTITUTE(SUBSTITUTE(SUBSTITUTE(AC27,"~","~~"),"*","~*"),"?","~?"),$D$6:$D$55,D27)=1,SUMIFS($E$6:$E$55,$AC$6:$AC$55,"="&amp;SUBSTITUTE(SUBSTITUTE(SUBSTITUTE(AC27,"~","~~"),"*","~*"),"?","~?"),$D$6:$D$55,D27)+SUMIFS($F$6:$F$55,$AC$6:$AC$55,"="&amp;SUBSTITUTE(SUBSTITUTE(SUBSTITUTE(AC27,"~","~~"),"*","~*"),"?","~?"),$D$6:$D$55,D27),""))</f>
        <v/>
      </c>
      <c r="H27" s="6">
        <f>IF(OR(A27="",D27=""),"",SUMIFS($AA$6:$AA$55,$AC$6:$AC$55,"="&amp;SUBSTITUTE(SUBSTITUTE(SUBSTITUTE(AC27,"~","~~"),"*","~*"),"?","~?"),$D$6:$D$55,D27))</f>
        <v/>
      </c>
      <c r="I27" s="6">
        <f>IF(G27="","",G27-H27)</f>
        <v/>
      </c>
      <c r="J27" s="7">
        <f>IF(COUNTA(A27:F27,L27:Z27)=0,"",IF(OR(A27="",D27=""),"ID・基準日要入力",IF(SUMIFS($AB$6:$AB$55,$AC$6:$AC$55,"="&amp;SUBSTITUTE(SUBSTITUTE(SUBSTITUTE(AC27,"~","~~"),"*","~*"),"?","~?"),$D$6:$D$55,D27)&lt;&gt;1,"付与は1行に入力",IF(SUMIFS($F$6:$F$55,$AC$6:$AC$55,"="&amp;SUBSTITUTE(SUBSTITUTE(SUBSTITUTE(AC27,"~","~~"),"*","~*"),"?","~?"),$D$6:$D$55,D27)&lt;10,"対象外",IF(H27&gt;=5,"済","未達")))))</f>
        <v/>
      </c>
      <c r="K27" s="4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6">
        <f>IF(COUNTA(L27:Z27)=0,"",COUNTA(L27:Z27))</f>
        <v/>
      </c>
      <c r="AB27" s="4">
        <f>IF(COUNT(E27:F27)=0,0,1)</f>
        <v/>
      </c>
      <c r="AC27" s="4">
        <f>IF(A27="","","ID:"&amp;A27)</f>
        <v/>
      </c>
    </row>
    <row r="28" ht="30" customHeight="1">
      <c r="A28" s="3" t="n"/>
      <c r="B28" s="4" t="n"/>
      <c r="C28" s="5" t="n"/>
      <c r="D28" s="5" t="n"/>
      <c r="E28" s="4" t="n"/>
      <c r="F28" s="4" t="n"/>
      <c r="G28" s="4">
        <f>IF(OR(A28="",D28=""),"",IF(SUMIFS($AB$6:$AB$55,$AC$6:$AC$55,"="&amp;SUBSTITUTE(SUBSTITUTE(SUBSTITUTE(AC28,"~","~~"),"*","~*"),"?","~?"),$D$6:$D$55,D28)=1,SUMIFS($E$6:$E$55,$AC$6:$AC$55,"="&amp;SUBSTITUTE(SUBSTITUTE(SUBSTITUTE(AC28,"~","~~"),"*","~*"),"?","~?"),$D$6:$D$55,D28)+SUMIFS($F$6:$F$55,$AC$6:$AC$55,"="&amp;SUBSTITUTE(SUBSTITUTE(SUBSTITUTE(AC28,"~","~~"),"*","~*"),"?","~?"),$D$6:$D$55,D28),""))</f>
        <v/>
      </c>
      <c r="H28" s="6">
        <f>IF(OR(A28="",D28=""),"",SUMIFS($AA$6:$AA$55,$AC$6:$AC$55,"="&amp;SUBSTITUTE(SUBSTITUTE(SUBSTITUTE(AC28,"~","~~"),"*","~*"),"?","~?"),$D$6:$D$55,D28))</f>
        <v/>
      </c>
      <c r="I28" s="6">
        <f>IF(G28="","",G28-H28)</f>
        <v/>
      </c>
      <c r="J28" s="7">
        <f>IF(COUNTA(A28:F28,L28:Z28)=0,"",IF(OR(A28="",D28=""),"ID・基準日要入力",IF(SUMIFS($AB$6:$AB$55,$AC$6:$AC$55,"="&amp;SUBSTITUTE(SUBSTITUTE(SUBSTITUTE(AC28,"~","~~"),"*","~*"),"?","~?"),$D$6:$D$55,D28)&lt;&gt;1,"付与は1行に入力",IF(SUMIFS($F$6:$F$55,$AC$6:$AC$55,"="&amp;SUBSTITUTE(SUBSTITUTE(SUBSTITUTE(AC28,"~","~~"),"*","~*"),"?","~?"),$D$6:$D$55,D28)&lt;10,"対象外",IF(H28&gt;=5,"済","未達")))))</f>
        <v/>
      </c>
      <c r="K28" s="4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6">
        <f>IF(COUNTA(L28:Z28)=0,"",COUNTA(L28:Z28))</f>
        <v/>
      </c>
      <c r="AB28" s="4">
        <f>IF(COUNT(E28:F28)=0,0,1)</f>
        <v/>
      </c>
      <c r="AC28" s="4">
        <f>IF(A28="","","ID:"&amp;A28)</f>
        <v/>
      </c>
    </row>
    <row r="29" ht="30" customHeight="1">
      <c r="A29" s="3" t="n"/>
      <c r="B29" s="4" t="n"/>
      <c r="C29" s="5" t="n"/>
      <c r="D29" s="5" t="n"/>
      <c r="E29" s="4" t="n"/>
      <c r="F29" s="4" t="n"/>
      <c r="G29" s="4">
        <f>IF(OR(A29="",D29=""),"",IF(SUMIFS($AB$6:$AB$55,$AC$6:$AC$55,"="&amp;SUBSTITUTE(SUBSTITUTE(SUBSTITUTE(AC29,"~","~~"),"*","~*"),"?","~?"),$D$6:$D$55,D29)=1,SUMIFS($E$6:$E$55,$AC$6:$AC$55,"="&amp;SUBSTITUTE(SUBSTITUTE(SUBSTITUTE(AC29,"~","~~"),"*","~*"),"?","~?"),$D$6:$D$55,D29)+SUMIFS($F$6:$F$55,$AC$6:$AC$55,"="&amp;SUBSTITUTE(SUBSTITUTE(SUBSTITUTE(AC29,"~","~~"),"*","~*"),"?","~?"),$D$6:$D$55,D29),""))</f>
        <v/>
      </c>
      <c r="H29" s="6">
        <f>IF(OR(A29="",D29=""),"",SUMIFS($AA$6:$AA$55,$AC$6:$AC$55,"="&amp;SUBSTITUTE(SUBSTITUTE(SUBSTITUTE(AC29,"~","~~"),"*","~*"),"?","~?"),$D$6:$D$55,D29))</f>
        <v/>
      </c>
      <c r="I29" s="6">
        <f>IF(G29="","",G29-H29)</f>
        <v/>
      </c>
      <c r="J29" s="7">
        <f>IF(COUNTA(A29:F29,L29:Z29)=0,"",IF(OR(A29="",D29=""),"ID・基準日要入力",IF(SUMIFS($AB$6:$AB$55,$AC$6:$AC$55,"="&amp;SUBSTITUTE(SUBSTITUTE(SUBSTITUTE(AC29,"~","~~"),"*","~*"),"?","~?"),$D$6:$D$55,D29)&lt;&gt;1,"付与は1行に入力",IF(SUMIFS($F$6:$F$55,$AC$6:$AC$55,"="&amp;SUBSTITUTE(SUBSTITUTE(SUBSTITUTE(AC29,"~","~~"),"*","~*"),"?","~?"),$D$6:$D$55,D29)&lt;10,"対象外",IF(H29&gt;=5,"済","未達")))))</f>
        <v/>
      </c>
      <c r="K29" s="4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6">
        <f>IF(COUNTA(L29:Z29)=0,"",COUNTA(L29:Z29))</f>
        <v/>
      </c>
      <c r="AB29" s="4">
        <f>IF(COUNT(E29:F29)=0,0,1)</f>
        <v/>
      </c>
      <c r="AC29" s="4">
        <f>IF(A29="","","ID:"&amp;A29)</f>
        <v/>
      </c>
    </row>
    <row r="30" ht="30" customHeight="1">
      <c r="A30" s="3" t="n"/>
      <c r="B30" s="4" t="n"/>
      <c r="C30" s="5" t="n"/>
      <c r="D30" s="5" t="n"/>
      <c r="E30" s="4" t="n"/>
      <c r="F30" s="4" t="n"/>
      <c r="G30" s="4">
        <f>IF(OR(A30="",D30=""),"",IF(SUMIFS($AB$6:$AB$55,$AC$6:$AC$55,"="&amp;SUBSTITUTE(SUBSTITUTE(SUBSTITUTE(AC30,"~","~~"),"*","~*"),"?","~?"),$D$6:$D$55,D30)=1,SUMIFS($E$6:$E$55,$AC$6:$AC$55,"="&amp;SUBSTITUTE(SUBSTITUTE(SUBSTITUTE(AC30,"~","~~"),"*","~*"),"?","~?"),$D$6:$D$55,D30)+SUMIFS($F$6:$F$55,$AC$6:$AC$55,"="&amp;SUBSTITUTE(SUBSTITUTE(SUBSTITUTE(AC30,"~","~~"),"*","~*"),"?","~?"),$D$6:$D$55,D30),""))</f>
        <v/>
      </c>
      <c r="H30" s="6">
        <f>IF(OR(A30="",D30=""),"",SUMIFS($AA$6:$AA$55,$AC$6:$AC$55,"="&amp;SUBSTITUTE(SUBSTITUTE(SUBSTITUTE(AC30,"~","~~"),"*","~*"),"?","~?"),$D$6:$D$55,D30))</f>
        <v/>
      </c>
      <c r="I30" s="6">
        <f>IF(G30="","",G30-H30)</f>
        <v/>
      </c>
      <c r="J30" s="7">
        <f>IF(COUNTA(A30:F30,L30:Z30)=0,"",IF(OR(A30="",D30=""),"ID・基準日要入力",IF(SUMIFS($AB$6:$AB$55,$AC$6:$AC$55,"="&amp;SUBSTITUTE(SUBSTITUTE(SUBSTITUTE(AC30,"~","~~"),"*","~*"),"?","~?"),$D$6:$D$55,D30)&lt;&gt;1,"付与は1行に入力",IF(SUMIFS($F$6:$F$55,$AC$6:$AC$55,"="&amp;SUBSTITUTE(SUBSTITUTE(SUBSTITUTE(AC30,"~","~~"),"*","~*"),"?","~?"),$D$6:$D$55,D30)&lt;10,"対象外",IF(H30&gt;=5,"済","未達")))))</f>
        <v/>
      </c>
      <c r="K30" s="4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6">
        <f>IF(COUNTA(L30:Z30)=0,"",COUNTA(L30:Z30))</f>
        <v/>
      </c>
      <c r="AB30" s="4">
        <f>IF(COUNT(E30:F30)=0,0,1)</f>
        <v/>
      </c>
      <c r="AC30" s="4">
        <f>IF(A30="","","ID:"&amp;A30)</f>
        <v/>
      </c>
    </row>
    <row r="31" ht="30" customHeight="1">
      <c r="A31" s="3" t="n"/>
      <c r="B31" s="4" t="n"/>
      <c r="C31" s="5" t="n"/>
      <c r="D31" s="5" t="n"/>
      <c r="E31" s="4" t="n"/>
      <c r="F31" s="4" t="n"/>
      <c r="G31" s="4">
        <f>IF(OR(A31="",D31=""),"",IF(SUMIFS($AB$6:$AB$55,$AC$6:$AC$55,"="&amp;SUBSTITUTE(SUBSTITUTE(SUBSTITUTE(AC31,"~","~~"),"*","~*"),"?","~?"),$D$6:$D$55,D31)=1,SUMIFS($E$6:$E$55,$AC$6:$AC$55,"="&amp;SUBSTITUTE(SUBSTITUTE(SUBSTITUTE(AC31,"~","~~"),"*","~*"),"?","~?"),$D$6:$D$55,D31)+SUMIFS($F$6:$F$55,$AC$6:$AC$55,"="&amp;SUBSTITUTE(SUBSTITUTE(SUBSTITUTE(AC31,"~","~~"),"*","~*"),"?","~?"),$D$6:$D$55,D31),""))</f>
        <v/>
      </c>
      <c r="H31" s="6">
        <f>IF(OR(A31="",D31=""),"",SUMIFS($AA$6:$AA$55,$AC$6:$AC$55,"="&amp;SUBSTITUTE(SUBSTITUTE(SUBSTITUTE(AC31,"~","~~"),"*","~*"),"?","~?"),$D$6:$D$55,D31))</f>
        <v/>
      </c>
      <c r="I31" s="6">
        <f>IF(G31="","",G31-H31)</f>
        <v/>
      </c>
      <c r="J31" s="7">
        <f>IF(COUNTA(A31:F31,L31:Z31)=0,"",IF(OR(A31="",D31=""),"ID・基準日要入力",IF(SUMIFS($AB$6:$AB$55,$AC$6:$AC$55,"="&amp;SUBSTITUTE(SUBSTITUTE(SUBSTITUTE(AC31,"~","~~"),"*","~*"),"?","~?"),$D$6:$D$55,D31)&lt;&gt;1,"付与は1行に入力",IF(SUMIFS($F$6:$F$55,$AC$6:$AC$55,"="&amp;SUBSTITUTE(SUBSTITUTE(SUBSTITUTE(AC31,"~","~~"),"*","~*"),"?","~?"),$D$6:$D$55,D31)&lt;10,"対象外",IF(H31&gt;=5,"済","未達")))))</f>
        <v/>
      </c>
      <c r="K31" s="4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6">
        <f>IF(COUNTA(L31:Z31)=0,"",COUNTA(L31:Z31))</f>
        <v/>
      </c>
      <c r="AB31" s="4">
        <f>IF(COUNT(E31:F31)=0,0,1)</f>
        <v/>
      </c>
      <c r="AC31" s="4">
        <f>IF(A31="","","ID:"&amp;A31)</f>
        <v/>
      </c>
    </row>
    <row r="32" ht="30" customHeight="1">
      <c r="A32" s="3" t="n"/>
      <c r="B32" s="4" t="n"/>
      <c r="C32" s="5" t="n"/>
      <c r="D32" s="5" t="n"/>
      <c r="E32" s="4" t="n"/>
      <c r="F32" s="4" t="n"/>
      <c r="G32" s="4">
        <f>IF(OR(A32="",D32=""),"",IF(SUMIFS($AB$6:$AB$55,$AC$6:$AC$55,"="&amp;SUBSTITUTE(SUBSTITUTE(SUBSTITUTE(AC32,"~","~~"),"*","~*"),"?","~?"),$D$6:$D$55,D32)=1,SUMIFS($E$6:$E$55,$AC$6:$AC$55,"="&amp;SUBSTITUTE(SUBSTITUTE(SUBSTITUTE(AC32,"~","~~"),"*","~*"),"?","~?"),$D$6:$D$55,D32)+SUMIFS($F$6:$F$55,$AC$6:$AC$55,"="&amp;SUBSTITUTE(SUBSTITUTE(SUBSTITUTE(AC32,"~","~~"),"*","~*"),"?","~?"),$D$6:$D$55,D32),""))</f>
        <v/>
      </c>
      <c r="H32" s="6">
        <f>IF(OR(A32="",D32=""),"",SUMIFS($AA$6:$AA$55,$AC$6:$AC$55,"="&amp;SUBSTITUTE(SUBSTITUTE(SUBSTITUTE(AC32,"~","~~"),"*","~*"),"?","~?"),$D$6:$D$55,D32))</f>
        <v/>
      </c>
      <c r="I32" s="6">
        <f>IF(G32="","",G32-H32)</f>
        <v/>
      </c>
      <c r="J32" s="7">
        <f>IF(COUNTA(A32:F32,L32:Z32)=0,"",IF(OR(A32="",D32=""),"ID・基準日要入力",IF(SUMIFS($AB$6:$AB$55,$AC$6:$AC$55,"="&amp;SUBSTITUTE(SUBSTITUTE(SUBSTITUTE(AC32,"~","~~"),"*","~*"),"?","~?"),$D$6:$D$55,D32)&lt;&gt;1,"付与は1行に入力",IF(SUMIFS($F$6:$F$55,$AC$6:$AC$55,"="&amp;SUBSTITUTE(SUBSTITUTE(SUBSTITUTE(AC32,"~","~~"),"*","~*"),"?","~?"),$D$6:$D$55,D32)&lt;10,"対象外",IF(H32&gt;=5,"済","未達")))))</f>
        <v/>
      </c>
      <c r="K32" s="4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6">
        <f>IF(COUNTA(L32:Z32)=0,"",COUNTA(L32:Z32))</f>
        <v/>
      </c>
      <c r="AB32" s="4">
        <f>IF(COUNT(E32:F32)=0,0,1)</f>
        <v/>
      </c>
      <c r="AC32" s="4">
        <f>IF(A32="","","ID:"&amp;A32)</f>
        <v/>
      </c>
    </row>
    <row r="33" ht="30" customHeight="1">
      <c r="A33" s="3" t="n"/>
      <c r="B33" s="4" t="n"/>
      <c r="C33" s="5" t="n"/>
      <c r="D33" s="5" t="n"/>
      <c r="E33" s="4" t="n"/>
      <c r="F33" s="4" t="n"/>
      <c r="G33" s="4">
        <f>IF(OR(A33="",D33=""),"",IF(SUMIFS($AB$6:$AB$55,$AC$6:$AC$55,"="&amp;SUBSTITUTE(SUBSTITUTE(SUBSTITUTE(AC33,"~","~~"),"*","~*"),"?","~?"),$D$6:$D$55,D33)=1,SUMIFS($E$6:$E$55,$AC$6:$AC$55,"="&amp;SUBSTITUTE(SUBSTITUTE(SUBSTITUTE(AC33,"~","~~"),"*","~*"),"?","~?"),$D$6:$D$55,D33)+SUMIFS($F$6:$F$55,$AC$6:$AC$55,"="&amp;SUBSTITUTE(SUBSTITUTE(SUBSTITUTE(AC33,"~","~~"),"*","~*"),"?","~?"),$D$6:$D$55,D33),""))</f>
        <v/>
      </c>
      <c r="H33" s="6">
        <f>IF(OR(A33="",D33=""),"",SUMIFS($AA$6:$AA$55,$AC$6:$AC$55,"="&amp;SUBSTITUTE(SUBSTITUTE(SUBSTITUTE(AC33,"~","~~"),"*","~*"),"?","~?"),$D$6:$D$55,D33))</f>
        <v/>
      </c>
      <c r="I33" s="6">
        <f>IF(G33="","",G33-H33)</f>
        <v/>
      </c>
      <c r="J33" s="7">
        <f>IF(COUNTA(A33:F33,L33:Z33)=0,"",IF(OR(A33="",D33=""),"ID・基準日要入力",IF(SUMIFS($AB$6:$AB$55,$AC$6:$AC$55,"="&amp;SUBSTITUTE(SUBSTITUTE(SUBSTITUTE(AC33,"~","~~"),"*","~*"),"?","~?"),$D$6:$D$55,D33)&lt;&gt;1,"付与は1行に入力",IF(SUMIFS($F$6:$F$55,$AC$6:$AC$55,"="&amp;SUBSTITUTE(SUBSTITUTE(SUBSTITUTE(AC33,"~","~~"),"*","~*"),"?","~?"),$D$6:$D$55,D33)&lt;10,"対象外",IF(H33&gt;=5,"済","未達")))))</f>
        <v/>
      </c>
      <c r="K33" s="4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6">
        <f>IF(COUNTA(L33:Z33)=0,"",COUNTA(L33:Z33))</f>
        <v/>
      </c>
      <c r="AB33" s="4">
        <f>IF(COUNT(E33:F33)=0,0,1)</f>
        <v/>
      </c>
      <c r="AC33" s="4">
        <f>IF(A33="","","ID:"&amp;A33)</f>
        <v/>
      </c>
    </row>
    <row r="34" ht="30" customHeight="1">
      <c r="A34" s="3" t="n"/>
      <c r="B34" s="4" t="n"/>
      <c r="C34" s="5" t="n"/>
      <c r="D34" s="5" t="n"/>
      <c r="E34" s="4" t="n"/>
      <c r="F34" s="4" t="n"/>
      <c r="G34" s="4">
        <f>IF(OR(A34="",D34=""),"",IF(SUMIFS($AB$6:$AB$55,$AC$6:$AC$55,"="&amp;SUBSTITUTE(SUBSTITUTE(SUBSTITUTE(AC34,"~","~~"),"*","~*"),"?","~?"),$D$6:$D$55,D34)=1,SUMIFS($E$6:$E$55,$AC$6:$AC$55,"="&amp;SUBSTITUTE(SUBSTITUTE(SUBSTITUTE(AC34,"~","~~"),"*","~*"),"?","~?"),$D$6:$D$55,D34)+SUMIFS($F$6:$F$55,$AC$6:$AC$55,"="&amp;SUBSTITUTE(SUBSTITUTE(SUBSTITUTE(AC34,"~","~~"),"*","~*"),"?","~?"),$D$6:$D$55,D34),""))</f>
        <v/>
      </c>
      <c r="H34" s="6">
        <f>IF(OR(A34="",D34=""),"",SUMIFS($AA$6:$AA$55,$AC$6:$AC$55,"="&amp;SUBSTITUTE(SUBSTITUTE(SUBSTITUTE(AC34,"~","~~"),"*","~*"),"?","~?"),$D$6:$D$55,D34))</f>
        <v/>
      </c>
      <c r="I34" s="6">
        <f>IF(G34="","",G34-H34)</f>
        <v/>
      </c>
      <c r="J34" s="7">
        <f>IF(COUNTA(A34:F34,L34:Z34)=0,"",IF(OR(A34="",D34=""),"ID・基準日要入力",IF(SUMIFS($AB$6:$AB$55,$AC$6:$AC$55,"="&amp;SUBSTITUTE(SUBSTITUTE(SUBSTITUTE(AC34,"~","~~"),"*","~*"),"?","~?"),$D$6:$D$55,D34)&lt;&gt;1,"付与は1行に入力",IF(SUMIFS($F$6:$F$55,$AC$6:$AC$55,"="&amp;SUBSTITUTE(SUBSTITUTE(SUBSTITUTE(AC34,"~","~~"),"*","~*"),"?","~?"),$D$6:$D$55,D34)&lt;10,"対象外",IF(H34&gt;=5,"済","未達")))))</f>
        <v/>
      </c>
      <c r="K34" s="4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6">
        <f>IF(COUNTA(L34:Z34)=0,"",COUNTA(L34:Z34))</f>
        <v/>
      </c>
      <c r="AB34" s="4">
        <f>IF(COUNT(E34:F34)=0,0,1)</f>
        <v/>
      </c>
      <c r="AC34" s="4">
        <f>IF(A34="","","ID:"&amp;A34)</f>
        <v/>
      </c>
    </row>
    <row r="35" ht="30" customHeight="1">
      <c r="A35" s="3" t="n"/>
      <c r="B35" s="4" t="n"/>
      <c r="C35" s="5" t="n"/>
      <c r="D35" s="5" t="n"/>
      <c r="E35" s="4" t="n"/>
      <c r="F35" s="4" t="n"/>
      <c r="G35" s="4">
        <f>IF(OR(A35="",D35=""),"",IF(SUMIFS($AB$6:$AB$55,$AC$6:$AC$55,"="&amp;SUBSTITUTE(SUBSTITUTE(SUBSTITUTE(AC35,"~","~~"),"*","~*"),"?","~?"),$D$6:$D$55,D35)=1,SUMIFS($E$6:$E$55,$AC$6:$AC$55,"="&amp;SUBSTITUTE(SUBSTITUTE(SUBSTITUTE(AC35,"~","~~"),"*","~*"),"?","~?"),$D$6:$D$55,D35)+SUMIFS($F$6:$F$55,$AC$6:$AC$55,"="&amp;SUBSTITUTE(SUBSTITUTE(SUBSTITUTE(AC35,"~","~~"),"*","~*"),"?","~?"),$D$6:$D$55,D35),""))</f>
        <v/>
      </c>
      <c r="H35" s="6">
        <f>IF(OR(A35="",D35=""),"",SUMIFS($AA$6:$AA$55,$AC$6:$AC$55,"="&amp;SUBSTITUTE(SUBSTITUTE(SUBSTITUTE(AC35,"~","~~"),"*","~*"),"?","~?"),$D$6:$D$55,D35))</f>
        <v/>
      </c>
      <c r="I35" s="6">
        <f>IF(G35="","",G35-H35)</f>
        <v/>
      </c>
      <c r="J35" s="7">
        <f>IF(COUNTA(A35:F35,L35:Z35)=0,"",IF(OR(A35="",D35=""),"ID・基準日要入力",IF(SUMIFS($AB$6:$AB$55,$AC$6:$AC$55,"="&amp;SUBSTITUTE(SUBSTITUTE(SUBSTITUTE(AC35,"~","~~"),"*","~*"),"?","~?"),$D$6:$D$55,D35)&lt;&gt;1,"付与は1行に入力",IF(SUMIFS($F$6:$F$55,$AC$6:$AC$55,"="&amp;SUBSTITUTE(SUBSTITUTE(SUBSTITUTE(AC35,"~","~~"),"*","~*"),"?","~?"),$D$6:$D$55,D35)&lt;10,"対象外",IF(H35&gt;=5,"済","未達")))))</f>
        <v/>
      </c>
      <c r="K35" s="4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6">
        <f>IF(COUNTA(L35:Z35)=0,"",COUNTA(L35:Z35))</f>
        <v/>
      </c>
      <c r="AB35" s="4">
        <f>IF(COUNT(E35:F35)=0,0,1)</f>
        <v/>
      </c>
      <c r="AC35" s="4">
        <f>IF(A35="","","ID:"&amp;A35)</f>
        <v/>
      </c>
    </row>
    <row r="36" ht="30" customHeight="1">
      <c r="A36" s="3" t="n"/>
      <c r="B36" s="4" t="n"/>
      <c r="C36" s="5" t="n"/>
      <c r="D36" s="5" t="n"/>
      <c r="E36" s="4" t="n"/>
      <c r="F36" s="4" t="n"/>
      <c r="G36" s="4">
        <f>IF(OR(A36="",D36=""),"",IF(SUMIFS($AB$6:$AB$55,$AC$6:$AC$55,"="&amp;SUBSTITUTE(SUBSTITUTE(SUBSTITUTE(AC36,"~","~~"),"*","~*"),"?","~?"),$D$6:$D$55,D36)=1,SUMIFS($E$6:$E$55,$AC$6:$AC$55,"="&amp;SUBSTITUTE(SUBSTITUTE(SUBSTITUTE(AC36,"~","~~"),"*","~*"),"?","~?"),$D$6:$D$55,D36)+SUMIFS($F$6:$F$55,$AC$6:$AC$55,"="&amp;SUBSTITUTE(SUBSTITUTE(SUBSTITUTE(AC36,"~","~~"),"*","~*"),"?","~?"),$D$6:$D$55,D36),""))</f>
        <v/>
      </c>
      <c r="H36" s="6">
        <f>IF(OR(A36="",D36=""),"",SUMIFS($AA$6:$AA$55,$AC$6:$AC$55,"="&amp;SUBSTITUTE(SUBSTITUTE(SUBSTITUTE(AC36,"~","~~"),"*","~*"),"?","~?"),$D$6:$D$55,D36))</f>
        <v/>
      </c>
      <c r="I36" s="6">
        <f>IF(G36="","",G36-H36)</f>
        <v/>
      </c>
      <c r="J36" s="7">
        <f>IF(COUNTA(A36:F36,L36:Z36)=0,"",IF(OR(A36="",D36=""),"ID・基準日要入力",IF(SUMIFS($AB$6:$AB$55,$AC$6:$AC$55,"="&amp;SUBSTITUTE(SUBSTITUTE(SUBSTITUTE(AC36,"~","~~"),"*","~*"),"?","~?"),$D$6:$D$55,D36)&lt;&gt;1,"付与は1行に入力",IF(SUMIFS($F$6:$F$55,$AC$6:$AC$55,"="&amp;SUBSTITUTE(SUBSTITUTE(SUBSTITUTE(AC36,"~","~~"),"*","~*"),"?","~?"),$D$6:$D$55,D36)&lt;10,"対象外",IF(H36&gt;=5,"済","未達")))))</f>
        <v/>
      </c>
      <c r="K36" s="4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6">
        <f>IF(COUNTA(L36:Z36)=0,"",COUNTA(L36:Z36))</f>
        <v/>
      </c>
      <c r="AB36" s="4">
        <f>IF(COUNT(E36:F36)=0,0,1)</f>
        <v/>
      </c>
      <c r="AC36" s="4">
        <f>IF(A36="","","ID:"&amp;A36)</f>
        <v/>
      </c>
    </row>
    <row r="37" ht="30" customHeight="1">
      <c r="A37" s="3" t="n"/>
      <c r="B37" s="4" t="n"/>
      <c r="C37" s="5" t="n"/>
      <c r="D37" s="5" t="n"/>
      <c r="E37" s="4" t="n"/>
      <c r="F37" s="4" t="n"/>
      <c r="G37" s="4">
        <f>IF(OR(A37="",D37=""),"",IF(SUMIFS($AB$6:$AB$55,$AC$6:$AC$55,"="&amp;SUBSTITUTE(SUBSTITUTE(SUBSTITUTE(AC37,"~","~~"),"*","~*"),"?","~?"),$D$6:$D$55,D37)=1,SUMIFS($E$6:$E$55,$AC$6:$AC$55,"="&amp;SUBSTITUTE(SUBSTITUTE(SUBSTITUTE(AC37,"~","~~"),"*","~*"),"?","~?"),$D$6:$D$55,D37)+SUMIFS($F$6:$F$55,$AC$6:$AC$55,"="&amp;SUBSTITUTE(SUBSTITUTE(SUBSTITUTE(AC37,"~","~~"),"*","~*"),"?","~?"),$D$6:$D$55,D37),""))</f>
        <v/>
      </c>
      <c r="H37" s="6">
        <f>IF(OR(A37="",D37=""),"",SUMIFS($AA$6:$AA$55,$AC$6:$AC$55,"="&amp;SUBSTITUTE(SUBSTITUTE(SUBSTITUTE(AC37,"~","~~"),"*","~*"),"?","~?"),$D$6:$D$55,D37))</f>
        <v/>
      </c>
      <c r="I37" s="6">
        <f>IF(G37="","",G37-H37)</f>
        <v/>
      </c>
      <c r="J37" s="7">
        <f>IF(COUNTA(A37:F37,L37:Z37)=0,"",IF(OR(A37="",D37=""),"ID・基準日要入力",IF(SUMIFS($AB$6:$AB$55,$AC$6:$AC$55,"="&amp;SUBSTITUTE(SUBSTITUTE(SUBSTITUTE(AC37,"~","~~"),"*","~*"),"?","~?"),$D$6:$D$55,D37)&lt;&gt;1,"付与は1行に入力",IF(SUMIFS($F$6:$F$55,$AC$6:$AC$55,"="&amp;SUBSTITUTE(SUBSTITUTE(SUBSTITUTE(AC37,"~","~~"),"*","~*"),"?","~?"),$D$6:$D$55,D37)&lt;10,"対象外",IF(H37&gt;=5,"済","未達")))))</f>
        <v/>
      </c>
      <c r="K37" s="4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6">
        <f>IF(COUNTA(L37:Z37)=0,"",COUNTA(L37:Z37))</f>
        <v/>
      </c>
      <c r="AB37" s="4">
        <f>IF(COUNT(E37:F37)=0,0,1)</f>
        <v/>
      </c>
      <c r="AC37" s="4">
        <f>IF(A37="","","ID:"&amp;A37)</f>
        <v/>
      </c>
    </row>
    <row r="38" ht="30" customHeight="1">
      <c r="A38" s="3" t="n"/>
      <c r="B38" s="4" t="n"/>
      <c r="C38" s="5" t="n"/>
      <c r="D38" s="5" t="n"/>
      <c r="E38" s="4" t="n"/>
      <c r="F38" s="4" t="n"/>
      <c r="G38" s="4">
        <f>IF(OR(A38="",D38=""),"",IF(SUMIFS($AB$6:$AB$55,$AC$6:$AC$55,"="&amp;SUBSTITUTE(SUBSTITUTE(SUBSTITUTE(AC38,"~","~~"),"*","~*"),"?","~?"),$D$6:$D$55,D38)=1,SUMIFS($E$6:$E$55,$AC$6:$AC$55,"="&amp;SUBSTITUTE(SUBSTITUTE(SUBSTITUTE(AC38,"~","~~"),"*","~*"),"?","~?"),$D$6:$D$55,D38)+SUMIFS($F$6:$F$55,$AC$6:$AC$55,"="&amp;SUBSTITUTE(SUBSTITUTE(SUBSTITUTE(AC38,"~","~~"),"*","~*"),"?","~?"),$D$6:$D$55,D38),""))</f>
        <v/>
      </c>
      <c r="H38" s="6">
        <f>IF(OR(A38="",D38=""),"",SUMIFS($AA$6:$AA$55,$AC$6:$AC$55,"="&amp;SUBSTITUTE(SUBSTITUTE(SUBSTITUTE(AC38,"~","~~"),"*","~*"),"?","~?"),$D$6:$D$55,D38))</f>
        <v/>
      </c>
      <c r="I38" s="6">
        <f>IF(G38="","",G38-H38)</f>
        <v/>
      </c>
      <c r="J38" s="7">
        <f>IF(COUNTA(A38:F38,L38:Z38)=0,"",IF(OR(A38="",D38=""),"ID・基準日要入力",IF(SUMIFS($AB$6:$AB$55,$AC$6:$AC$55,"="&amp;SUBSTITUTE(SUBSTITUTE(SUBSTITUTE(AC38,"~","~~"),"*","~*"),"?","~?"),$D$6:$D$55,D38)&lt;&gt;1,"付与は1行に入力",IF(SUMIFS($F$6:$F$55,$AC$6:$AC$55,"="&amp;SUBSTITUTE(SUBSTITUTE(SUBSTITUTE(AC38,"~","~~"),"*","~*"),"?","~?"),$D$6:$D$55,D38)&lt;10,"対象外",IF(H38&gt;=5,"済","未達")))))</f>
        <v/>
      </c>
      <c r="K38" s="4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6">
        <f>IF(COUNTA(L38:Z38)=0,"",COUNTA(L38:Z38))</f>
        <v/>
      </c>
      <c r="AB38" s="4">
        <f>IF(COUNT(E38:F38)=0,0,1)</f>
        <v/>
      </c>
      <c r="AC38" s="4">
        <f>IF(A38="","","ID:"&amp;A38)</f>
        <v/>
      </c>
    </row>
    <row r="39" ht="30" customHeight="1">
      <c r="A39" s="3" t="n"/>
      <c r="B39" s="4" t="n"/>
      <c r="C39" s="5" t="n"/>
      <c r="D39" s="5" t="n"/>
      <c r="E39" s="4" t="n"/>
      <c r="F39" s="4" t="n"/>
      <c r="G39" s="4">
        <f>IF(OR(A39="",D39=""),"",IF(SUMIFS($AB$6:$AB$55,$AC$6:$AC$55,"="&amp;SUBSTITUTE(SUBSTITUTE(SUBSTITUTE(AC39,"~","~~"),"*","~*"),"?","~?"),$D$6:$D$55,D39)=1,SUMIFS($E$6:$E$55,$AC$6:$AC$55,"="&amp;SUBSTITUTE(SUBSTITUTE(SUBSTITUTE(AC39,"~","~~"),"*","~*"),"?","~?"),$D$6:$D$55,D39)+SUMIFS($F$6:$F$55,$AC$6:$AC$55,"="&amp;SUBSTITUTE(SUBSTITUTE(SUBSTITUTE(AC39,"~","~~"),"*","~*"),"?","~?"),$D$6:$D$55,D39),""))</f>
        <v/>
      </c>
      <c r="H39" s="6">
        <f>IF(OR(A39="",D39=""),"",SUMIFS($AA$6:$AA$55,$AC$6:$AC$55,"="&amp;SUBSTITUTE(SUBSTITUTE(SUBSTITUTE(AC39,"~","~~"),"*","~*"),"?","~?"),$D$6:$D$55,D39))</f>
        <v/>
      </c>
      <c r="I39" s="6">
        <f>IF(G39="","",G39-H39)</f>
        <v/>
      </c>
      <c r="J39" s="7">
        <f>IF(COUNTA(A39:F39,L39:Z39)=0,"",IF(OR(A39="",D39=""),"ID・基準日要入力",IF(SUMIFS($AB$6:$AB$55,$AC$6:$AC$55,"="&amp;SUBSTITUTE(SUBSTITUTE(SUBSTITUTE(AC39,"~","~~"),"*","~*"),"?","~?"),$D$6:$D$55,D39)&lt;&gt;1,"付与は1行に入力",IF(SUMIFS($F$6:$F$55,$AC$6:$AC$55,"="&amp;SUBSTITUTE(SUBSTITUTE(SUBSTITUTE(AC39,"~","~~"),"*","~*"),"?","~?"),$D$6:$D$55,D39)&lt;10,"対象外",IF(H39&gt;=5,"済","未達")))))</f>
        <v/>
      </c>
      <c r="K39" s="4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6">
        <f>IF(COUNTA(L39:Z39)=0,"",COUNTA(L39:Z39))</f>
        <v/>
      </c>
      <c r="AB39" s="4">
        <f>IF(COUNT(E39:F39)=0,0,1)</f>
        <v/>
      </c>
      <c r="AC39" s="4">
        <f>IF(A39="","","ID:"&amp;A39)</f>
        <v/>
      </c>
    </row>
    <row r="40" ht="30" customHeight="1">
      <c r="A40" s="3" t="n"/>
      <c r="B40" s="4" t="n"/>
      <c r="C40" s="5" t="n"/>
      <c r="D40" s="5" t="n"/>
      <c r="E40" s="4" t="n"/>
      <c r="F40" s="4" t="n"/>
      <c r="G40" s="4">
        <f>IF(OR(A40="",D40=""),"",IF(SUMIFS($AB$6:$AB$55,$AC$6:$AC$55,"="&amp;SUBSTITUTE(SUBSTITUTE(SUBSTITUTE(AC40,"~","~~"),"*","~*"),"?","~?"),$D$6:$D$55,D40)=1,SUMIFS($E$6:$E$55,$AC$6:$AC$55,"="&amp;SUBSTITUTE(SUBSTITUTE(SUBSTITUTE(AC40,"~","~~"),"*","~*"),"?","~?"),$D$6:$D$55,D40)+SUMIFS($F$6:$F$55,$AC$6:$AC$55,"="&amp;SUBSTITUTE(SUBSTITUTE(SUBSTITUTE(AC40,"~","~~"),"*","~*"),"?","~?"),$D$6:$D$55,D40),""))</f>
        <v/>
      </c>
      <c r="H40" s="6">
        <f>IF(OR(A40="",D40=""),"",SUMIFS($AA$6:$AA$55,$AC$6:$AC$55,"="&amp;SUBSTITUTE(SUBSTITUTE(SUBSTITUTE(AC40,"~","~~"),"*","~*"),"?","~?"),$D$6:$D$55,D40))</f>
        <v/>
      </c>
      <c r="I40" s="6">
        <f>IF(G40="","",G40-H40)</f>
        <v/>
      </c>
      <c r="J40" s="7">
        <f>IF(COUNTA(A40:F40,L40:Z40)=0,"",IF(OR(A40="",D40=""),"ID・基準日要入力",IF(SUMIFS($AB$6:$AB$55,$AC$6:$AC$55,"="&amp;SUBSTITUTE(SUBSTITUTE(SUBSTITUTE(AC40,"~","~~"),"*","~*"),"?","~?"),$D$6:$D$55,D40)&lt;&gt;1,"付与は1行に入力",IF(SUMIFS($F$6:$F$55,$AC$6:$AC$55,"="&amp;SUBSTITUTE(SUBSTITUTE(SUBSTITUTE(AC40,"~","~~"),"*","~*"),"?","~?"),$D$6:$D$55,D40)&lt;10,"対象外",IF(H40&gt;=5,"済","未達")))))</f>
        <v/>
      </c>
      <c r="K40" s="4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6">
        <f>IF(COUNTA(L40:Z40)=0,"",COUNTA(L40:Z40))</f>
        <v/>
      </c>
      <c r="AB40" s="4">
        <f>IF(COUNT(E40:F40)=0,0,1)</f>
        <v/>
      </c>
      <c r="AC40" s="4">
        <f>IF(A40="","","ID:"&amp;A40)</f>
        <v/>
      </c>
    </row>
    <row r="41" ht="30" customHeight="1">
      <c r="A41" s="3" t="n"/>
      <c r="B41" s="4" t="n"/>
      <c r="C41" s="5" t="n"/>
      <c r="D41" s="5" t="n"/>
      <c r="E41" s="4" t="n"/>
      <c r="F41" s="4" t="n"/>
      <c r="G41" s="4">
        <f>IF(OR(A41="",D41=""),"",IF(SUMIFS($AB$6:$AB$55,$AC$6:$AC$55,"="&amp;SUBSTITUTE(SUBSTITUTE(SUBSTITUTE(AC41,"~","~~"),"*","~*"),"?","~?"),$D$6:$D$55,D41)=1,SUMIFS($E$6:$E$55,$AC$6:$AC$55,"="&amp;SUBSTITUTE(SUBSTITUTE(SUBSTITUTE(AC41,"~","~~"),"*","~*"),"?","~?"),$D$6:$D$55,D41)+SUMIFS($F$6:$F$55,$AC$6:$AC$55,"="&amp;SUBSTITUTE(SUBSTITUTE(SUBSTITUTE(AC41,"~","~~"),"*","~*"),"?","~?"),$D$6:$D$55,D41),""))</f>
        <v/>
      </c>
      <c r="H41" s="6">
        <f>IF(OR(A41="",D41=""),"",SUMIFS($AA$6:$AA$55,$AC$6:$AC$55,"="&amp;SUBSTITUTE(SUBSTITUTE(SUBSTITUTE(AC41,"~","~~"),"*","~*"),"?","~?"),$D$6:$D$55,D41))</f>
        <v/>
      </c>
      <c r="I41" s="6">
        <f>IF(G41="","",G41-H41)</f>
        <v/>
      </c>
      <c r="J41" s="7">
        <f>IF(COUNTA(A41:F41,L41:Z41)=0,"",IF(OR(A41="",D41=""),"ID・基準日要入力",IF(SUMIFS($AB$6:$AB$55,$AC$6:$AC$55,"="&amp;SUBSTITUTE(SUBSTITUTE(SUBSTITUTE(AC41,"~","~~"),"*","~*"),"?","~?"),$D$6:$D$55,D41)&lt;&gt;1,"付与は1行に入力",IF(SUMIFS($F$6:$F$55,$AC$6:$AC$55,"="&amp;SUBSTITUTE(SUBSTITUTE(SUBSTITUTE(AC41,"~","~~"),"*","~*"),"?","~?"),$D$6:$D$55,D41)&lt;10,"対象外",IF(H41&gt;=5,"済","未達")))))</f>
        <v/>
      </c>
      <c r="K41" s="4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6">
        <f>IF(COUNTA(L41:Z41)=0,"",COUNTA(L41:Z41))</f>
        <v/>
      </c>
      <c r="AB41" s="4">
        <f>IF(COUNT(E41:F41)=0,0,1)</f>
        <v/>
      </c>
      <c r="AC41" s="4">
        <f>IF(A41="","","ID:"&amp;A41)</f>
        <v/>
      </c>
    </row>
    <row r="42" ht="30" customHeight="1">
      <c r="A42" s="3" t="n"/>
      <c r="B42" s="4" t="n"/>
      <c r="C42" s="5" t="n"/>
      <c r="D42" s="5" t="n"/>
      <c r="E42" s="4" t="n"/>
      <c r="F42" s="4" t="n"/>
      <c r="G42" s="4">
        <f>IF(OR(A42="",D42=""),"",IF(SUMIFS($AB$6:$AB$55,$AC$6:$AC$55,"="&amp;SUBSTITUTE(SUBSTITUTE(SUBSTITUTE(AC42,"~","~~"),"*","~*"),"?","~?"),$D$6:$D$55,D42)=1,SUMIFS($E$6:$E$55,$AC$6:$AC$55,"="&amp;SUBSTITUTE(SUBSTITUTE(SUBSTITUTE(AC42,"~","~~"),"*","~*"),"?","~?"),$D$6:$D$55,D42)+SUMIFS($F$6:$F$55,$AC$6:$AC$55,"="&amp;SUBSTITUTE(SUBSTITUTE(SUBSTITUTE(AC42,"~","~~"),"*","~*"),"?","~?"),$D$6:$D$55,D42),""))</f>
        <v/>
      </c>
      <c r="H42" s="6">
        <f>IF(OR(A42="",D42=""),"",SUMIFS($AA$6:$AA$55,$AC$6:$AC$55,"="&amp;SUBSTITUTE(SUBSTITUTE(SUBSTITUTE(AC42,"~","~~"),"*","~*"),"?","~?"),$D$6:$D$55,D42))</f>
        <v/>
      </c>
      <c r="I42" s="6">
        <f>IF(G42="","",G42-H42)</f>
        <v/>
      </c>
      <c r="J42" s="7">
        <f>IF(COUNTA(A42:F42,L42:Z42)=0,"",IF(OR(A42="",D42=""),"ID・基準日要入力",IF(SUMIFS($AB$6:$AB$55,$AC$6:$AC$55,"="&amp;SUBSTITUTE(SUBSTITUTE(SUBSTITUTE(AC42,"~","~~"),"*","~*"),"?","~?"),$D$6:$D$55,D42)&lt;&gt;1,"付与は1行に入力",IF(SUMIFS($F$6:$F$55,$AC$6:$AC$55,"="&amp;SUBSTITUTE(SUBSTITUTE(SUBSTITUTE(AC42,"~","~~"),"*","~*"),"?","~?"),$D$6:$D$55,D42)&lt;10,"対象外",IF(H42&gt;=5,"済","未達")))))</f>
        <v/>
      </c>
      <c r="K42" s="4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6">
        <f>IF(COUNTA(L42:Z42)=0,"",COUNTA(L42:Z42))</f>
        <v/>
      </c>
      <c r="AB42" s="4">
        <f>IF(COUNT(E42:F42)=0,0,1)</f>
        <v/>
      </c>
      <c r="AC42" s="4">
        <f>IF(A42="","","ID:"&amp;A42)</f>
        <v/>
      </c>
    </row>
    <row r="43" ht="30" customHeight="1">
      <c r="A43" s="3" t="n"/>
      <c r="B43" s="4" t="n"/>
      <c r="C43" s="5" t="n"/>
      <c r="D43" s="5" t="n"/>
      <c r="E43" s="4" t="n"/>
      <c r="F43" s="4" t="n"/>
      <c r="G43" s="4">
        <f>IF(OR(A43="",D43=""),"",IF(SUMIFS($AB$6:$AB$55,$AC$6:$AC$55,"="&amp;SUBSTITUTE(SUBSTITUTE(SUBSTITUTE(AC43,"~","~~"),"*","~*"),"?","~?"),$D$6:$D$55,D43)=1,SUMIFS($E$6:$E$55,$AC$6:$AC$55,"="&amp;SUBSTITUTE(SUBSTITUTE(SUBSTITUTE(AC43,"~","~~"),"*","~*"),"?","~?"),$D$6:$D$55,D43)+SUMIFS($F$6:$F$55,$AC$6:$AC$55,"="&amp;SUBSTITUTE(SUBSTITUTE(SUBSTITUTE(AC43,"~","~~"),"*","~*"),"?","~?"),$D$6:$D$55,D43),""))</f>
        <v/>
      </c>
      <c r="H43" s="6">
        <f>IF(OR(A43="",D43=""),"",SUMIFS($AA$6:$AA$55,$AC$6:$AC$55,"="&amp;SUBSTITUTE(SUBSTITUTE(SUBSTITUTE(AC43,"~","~~"),"*","~*"),"?","~?"),$D$6:$D$55,D43))</f>
        <v/>
      </c>
      <c r="I43" s="6">
        <f>IF(G43="","",G43-H43)</f>
        <v/>
      </c>
      <c r="J43" s="7">
        <f>IF(COUNTA(A43:F43,L43:Z43)=0,"",IF(OR(A43="",D43=""),"ID・基準日要入力",IF(SUMIFS($AB$6:$AB$55,$AC$6:$AC$55,"="&amp;SUBSTITUTE(SUBSTITUTE(SUBSTITUTE(AC43,"~","~~"),"*","~*"),"?","~?"),$D$6:$D$55,D43)&lt;&gt;1,"付与は1行に入力",IF(SUMIFS($F$6:$F$55,$AC$6:$AC$55,"="&amp;SUBSTITUTE(SUBSTITUTE(SUBSTITUTE(AC43,"~","~~"),"*","~*"),"?","~?"),$D$6:$D$55,D43)&lt;10,"対象外",IF(H43&gt;=5,"済","未達")))))</f>
        <v/>
      </c>
      <c r="K43" s="4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6">
        <f>IF(COUNTA(L43:Z43)=0,"",COUNTA(L43:Z43))</f>
        <v/>
      </c>
      <c r="AB43" s="4">
        <f>IF(COUNT(E43:F43)=0,0,1)</f>
        <v/>
      </c>
      <c r="AC43" s="4">
        <f>IF(A43="","","ID:"&amp;A43)</f>
        <v/>
      </c>
    </row>
    <row r="44" ht="30" customHeight="1">
      <c r="A44" s="3" t="n"/>
      <c r="B44" s="4" t="n"/>
      <c r="C44" s="5" t="n"/>
      <c r="D44" s="5" t="n"/>
      <c r="E44" s="4" t="n"/>
      <c r="F44" s="4" t="n"/>
      <c r="G44" s="4">
        <f>IF(OR(A44="",D44=""),"",IF(SUMIFS($AB$6:$AB$55,$AC$6:$AC$55,"="&amp;SUBSTITUTE(SUBSTITUTE(SUBSTITUTE(AC44,"~","~~"),"*","~*"),"?","~?"),$D$6:$D$55,D44)=1,SUMIFS($E$6:$E$55,$AC$6:$AC$55,"="&amp;SUBSTITUTE(SUBSTITUTE(SUBSTITUTE(AC44,"~","~~"),"*","~*"),"?","~?"),$D$6:$D$55,D44)+SUMIFS($F$6:$F$55,$AC$6:$AC$55,"="&amp;SUBSTITUTE(SUBSTITUTE(SUBSTITUTE(AC44,"~","~~"),"*","~*"),"?","~?"),$D$6:$D$55,D44),""))</f>
        <v/>
      </c>
      <c r="H44" s="6">
        <f>IF(OR(A44="",D44=""),"",SUMIFS($AA$6:$AA$55,$AC$6:$AC$55,"="&amp;SUBSTITUTE(SUBSTITUTE(SUBSTITUTE(AC44,"~","~~"),"*","~*"),"?","~?"),$D$6:$D$55,D44))</f>
        <v/>
      </c>
      <c r="I44" s="6">
        <f>IF(G44="","",G44-H44)</f>
        <v/>
      </c>
      <c r="J44" s="7">
        <f>IF(COUNTA(A44:F44,L44:Z44)=0,"",IF(OR(A44="",D44=""),"ID・基準日要入力",IF(SUMIFS($AB$6:$AB$55,$AC$6:$AC$55,"="&amp;SUBSTITUTE(SUBSTITUTE(SUBSTITUTE(AC44,"~","~~"),"*","~*"),"?","~?"),$D$6:$D$55,D44)&lt;&gt;1,"付与は1行に入力",IF(SUMIFS($F$6:$F$55,$AC$6:$AC$55,"="&amp;SUBSTITUTE(SUBSTITUTE(SUBSTITUTE(AC44,"~","~~"),"*","~*"),"?","~?"),$D$6:$D$55,D44)&lt;10,"対象外",IF(H44&gt;=5,"済","未達")))))</f>
        <v/>
      </c>
      <c r="K44" s="4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6">
        <f>IF(COUNTA(L44:Z44)=0,"",COUNTA(L44:Z44))</f>
        <v/>
      </c>
      <c r="AB44" s="4">
        <f>IF(COUNT(E44:F44)=0,0,1)</f>
        <v/>
      </c>
      <c r="AC44" s="4">
        <f>IF(A44="","","ID:"&amp;A44)</f>
        <v/>
      </c>
    </row>
    <row r="45" ht="30" customHeight="1">
      <c r="A45" s="3" t="n"/>
      <c r="B45" s="4" t="n"/>
      <c r="C45" s="5" t="n"/>
      <c r="D45" s="5" t="n"/>
      <c r="E45" s="4" t="n"/>
      <c r="F45" s="4" t="n"/>
      <c r="G45" s="4">
        <f>IF(OR(A45="",D45=""),"",IF(SUMIFS($AB$6:$AB$55,$AC$6:$AC$55,"="&amp;SUBSTITUTE(SUBSTITUTE(SUBSTITUTE(AC45,"~","~~"),"*","~*"),"?","~?"),$D$6:$D$55,D45)=1,SUMIFS($E$6:$E$55,$AC$6:$AC$55,"="&amp;SUBSTITUTE(SUBSTITUTE(SUBSTITUTE(AC45,"~","~~"),"*","~*"),"?","~?"),$D$6:$D$55,D45)+SUMIFS($F$6:$F$55,$AC$6:$AC$55,"="&amp;SUBSTITUTE(SUBSTITUTE(SUBSTITUTE(AC45,"~","~~"),"*","~*"),"?","~?"),$D$6:$D$55,D45),""))</f>
        <v/>
      </c>
      <c r="H45" s="6">
        <f>IF(OR(A45="",D45=""),"",SUMIFS($AA$6:$AA$55,$AC$6:$AC$55,"="&amp;SUBSTITUTE(SUBSTITUTE(SUBSTITUTE(AC45,"~","~~"),"*","~*"),"?","~?"),$D$6:$D$55,D45))</f>
        <v/>
      </c>
      <c r="I45" s="6">
        <f>IF(G45="","",G45-H45)</f>
        <v/>
      </c>
      <c r="J45" s="7">
        <f>IF(COUNTA(A45:F45,L45:Z45)=0,"",IF(OR(A45="",D45=""),"ID・基準日要入力",IF(SUMIFS($AB$6:$AB$55,$AC$6:$AC$55,"="&amp;SUBSTITUTE(SUBSTITUTE(SUBSTITUTE(AC45,"~","~~"),"*","~*"),"?","~?"),$D$6:$D$55,D45)&lt;&gt;1,"付与は1行に入力",IF(SUMIFS($F$6:$F$55,$AC$6:$AC$55,"="&amp;SUBSTITUTE(SUBSTITUTE(SUBSTITUTE(AC45,"~","~~"),"*","~*"),"?","~?"),$D$6:$D$55,D45)&lt;10,"対象外",IF(H45&gt;=5,"済","未達")))))</f>
        <v/>
      </c>
      <c r="K45" s="4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6">
        <f>IF(COUNTA(L45:Z45)=0,"",COUNTA(L45:Z45))</f>
        <v/>
      </c>
      <c r="AB45" s="4">
        <f>IF(COUNT(E45:F45)=0,0,1)</f>
        <v/>
      </c>
      <c r="AC45" s="4">
        <f>IF(A45="","","ID:"&amp;A45)</f>
        <v/>
      </c>
    </row>
    <row r="46" ht="30" customHeight="1">
      <c r="A46" s="3" t="n"/>
      <c r="B46" s="4" t="n"/>
      <c r="C46" s="5" t="n"/>
      <c r="D46" s="5" t="n"/>
      <c r="E46" s="4" t="n"/>
      <c r="F46" s="4" t="n"/>
      <c r="G46" s="4">
        <f>IF(OR(A46="",D46=""),"",IF(SUMIFS($AB$6:$AB$55,$AC$6:$AC$55,"="&amp;SUBSTITUTE(SUBSTITUTE(SUBSTITUTE(AC46,"~","~~"),"*","~*"),"?","~?"),$D$6:$D$55,D46)=1,SUMIFS($E$6:$E$55,$AC$6:$AC$55,"="&amp;SUBSTITUTE(SUBSTITUTE(SUBSTITUTE(AC46,"~","~~"),"*","~*"),"?","~?"),$D$6:$D$55,D46)+SUMIFS($F$6:$F$55,$AC$6:$AC$55,"="&amp;SUBSTITUTE(SUBSTITUTE(SUBSTITUTE(AC46,"~","~~"),"*","~*"),"?","~?"),$D$6:$D$55,D46),""))</f>
        <v/>
      </c>
      <c r="H46" s="6">
        <f>IF(OR(A46="",D46=""),"",SUMIFS($AA$6:$AA$55,$AC$6:$AC$55,"="&amp;SUBSTITUTE(SUBSTITUTE(SUBSTITUTE(AC46,"~","~~"),"*","~*"),"?","~?"),$D$6:$D$55,D46))</f>
        <v/>
      </c>
      <c r="I46" s="6">
        <f>IF(G46="","",G46-H46)</f>
        <v/>
      </c>
      <c r="J46" s="7">
        <f>IF(COUNTA(A46:F46,L46:Z46)=0,"",IF(OR(A46="",D46=""),"ID・基準日要入力",IF(SUMIFS($AB$6:$AB$55,$AC$6:$AC$55,"="&amp;SUBSTITUTE(SUBSTITUTE(SUBSTITUTE(AC46,"~","~~"),"*","~*"),"?","~?"),$D$6:$D$55,D46)&lt;&gt;1,"付与は1行に入力",IF(SUMIFS($F$6:$F$55,$AC$6:$AC$55,"="&amp;SUBSTITUTE(SUBSTITUTE(SUBSTITUTE(AC46,"~","~~"),"*","~*"),"?","~?"),$D$6:$D$55,D46)&lt;10,"対象外",IF(H46&gt;=5,"済","未達")))))</f>
        <v/>
      </c>
      <c r="K46" s="4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6">
        <f>IF(COUNTA(L46:Z46)=0,"",COUNTA(L46:Z46))</f>
        <v/>
      </c>
      <c r="AB46" s="4">
        <f>IF(COUNT(E46:F46)=0,0,1)</f>
        <v/>
      </c>
      <c r="AC46" s="4">
        <f>IF(A46="","","ID:"&amp;A46)</f>
        <v/>
      </c>
    </row>
    <row r="47" ht="30" customHeight="1">
      <c r="A47" s="3" t="n"/>
      <c r="B47" s="4" t="n"/>
      <c r="C47" s="5" t="n"/>
      <c r="D47" s="5" t="n"/>
      <c r="E47" s="4" t="n"/>
      <c r="F47" s="4" t="n"/>
      <c r="G47" s="4">
        <f>IF(OR(A47="",D47=""),"",IF(SUMIFS($AB$6:$AB$55,$AC$6:$AC$55,"="&amp;SUBSTITUTE(SUBSTITUTE(SUBSTITUTE(AC47,"~","~~"),"*","~*"),"?","~?"),$D$6:$D$55,D47)=1,SUMIFS($E$6:$E$55,$AC$6:$AC$55,"="&amp;SUBSTITUTE(SUBSTITUTE(SUBSTITUTE(AC47,"~","~~"),"*","~*"),"?","~?"),$D$6:$D$55,D47)+SUMIFS($F$6:$F$55,$AC$6:$AC$55,"="&amp;SUBSTITUTE(SUBSTITUTE(SUBSTITUTE(AC47,"~","~~"),"*","~*"),"?","~?"),$D$6:$D$55,D47),""))</f>
        <v/>
      </c>
      <c r="H47" s="6">
        <f>IF(OR(A47="",D47=""),"",SUMIFS($AA$6:$AA$55,$AC$6:$AC$55,"="&amp;SUBSTITUTE(SUBSTITUTE(SUBSTITUTE(AC47,"~","~~"),"*","~*"),"?","~?"),$D$6:$D$55,D47))</f>
        <v/>
      </c>
      <c r="I47" s="6">
        <f>IF(G47="","",G47-H47)</f>
        <v/>
      </c>
      <c r="J47" s="7">
        <f>IF(COUNTA(A47:F47,L47:Z47)=0,"",IF(OR(A47="",D47=""),"ID・基準日要入力",IF(SUMIFS($AB$6:$AB$55,$AC$6:$AC$55,"="&amp;SUBSTITUTE(SUBSTITUTE(SUBSTITUTE(AC47,"~","~~"),"*","~*"),"?","~?"),$D$6:$D$55,D47)&lt;&gt;1,"付与は1行に入力",IF(SUMIFS($F$6:$F$55,$AC$6:$AC$55,"="&amp;SUBSTITUTE(SUBSTITUTE(SUBSTITUTE(AC47,"~","~~"),"*","~*"),"?","~?"),$D$6:$D$55,D47)&lt;10,"対象外",IF(H47&gt;=5,"済","未達")))))</f>
        <v/>
      </c>
      <c r="K47" s="4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6">
        <f>IF(COUNTA(L47:Z47)=0,"",COUNTA(L47:Z47))</f>
        <v/>
      </c>
      <c r="AB47" s="4">
        <f>IF(COUNT(E47:F47)=0,0,1)</f>
        <v/>
      </c>
      <c r="AC47" s="4">
        <f>IF(A47="","","ID:"&amp;A47)</f>
        <v/>
      </c>
    </row>
    <row r="48" ht="30" customHeight="1">
      <c r="A48" s="3" t="n"/>
      <c r="B48" s="4" t="n"/>
      <c r="C48" s="5" t="n"/>
      <c r="D48" s="5" t="n"/>
      <c r="E48" s="4" t="n"/>
      <c r="F48" s="4" t="n"/>
      <c r="G48" s="4">
        <f>IF(OR(A48="",D48=""),"",IF(SUMIFS($AB$6:$AB$55,$AC$6:$AC$55,"="&amp;SUBSTITUTE(SUBSTITUTE(SUBSTITUTE(AC48,"~","~~"),"*","~*"),"?","~?"),$D$6:$D$55,D48)=1,SUMIFS($E$6:$E$55,$AC$6:$AC$55,"="&amp;SUBSTITUTE(SUBSTITUTE(SUBSTITUTE(AC48,"~","~~"),"*","~*"),"?","~?"),$D$6:$D$55,D48)+SUMIFS($F$6:$F$55,$AC$6:$AC$55,"="&amp;SUBSTITUTE(SUBSTITUTE(SUBSTITUTE(AC48,"~","~~"),"*","~*"),"?","~?"),$D$6:$D$55,D48),""))</f>
        <v/>
      </c>
      <c r="H48" s="6">
        <f>IF(OR(A48="",D48=""),"",SUMIFS($AA$6:$AA$55,$AC$6:$AC$55,"="&amp;SUBSTITUTE(SUBSTITUTE(SUBSTITUTE(AC48,"~","~~"),"*","~*"),"?","~?"),$D$6:$D$55,D48))</f>
        <v/>
      </c>
      <c r="I48" s="6">
        <f>IF(G48="","",G48-H48)</f>
        <v/>
      </c>
      <c r="J48" s="7">
        <f>IF(COUNTA(A48:F48,L48:Z48)=0,"",IF(OR(A48="",D48=""),"ID・基準日要入力",IF(SUMIFS($AB$6:$AB$55,$AC$6:$AC$55,"="&amp;SUBSTITUTE(SUBSTITUTE(SUBSTITUTE(AC48,"~","~~"),"*","~*"),"?","~?"),$D$6:$D$55,D48)&lt;&gt;1,"付与は1行に入力",IF(SUMIFS($F$6:$F$55,$AC$6:$AC$55,"="&amp;SUBSTITUTE(SUBSTITUTE(SUBSTITUTE(AC48,"~","~~"),"*","~*"),"?","~?"),$D$6:$D$55,D48)&lt;10,"対象外",IF(H48&gt;=5,"済","未達")))))</f>
        <v/>
      </c>
      <c r="K48" s="4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6">
        <f>IF(COUNTA(L48:Z48)=0,"",COUNTA(L48:Z48))</f>
        <v/>
      </c>
      <c r="AB48" s="4">
        <f>IF(COUNT(E48:F48)=0,0,1)</f>
        <v/>
      </c>
      <c r="AC48" s="4">
        <f>IF(A48="","","ID:"&amp;A48)</f>
        <v/>
      </c>
    </row>
    <row r="49" ht="30" customHeight="1">
      <c r="A49" s="3" t="n"/>
      <c r="B49" s="4" t="n"/>
      <c r="C49" s="5" t="n"/>
      <c r="D49" s="5" t="n"/>
      <c r="E49" s="4" t="n"/>
      <c r="F49" s="4" t="n"/>
      <c r="G49" s="4">
        <f>IF(OR(A49="",D49=""),"",IF(SUMIFS($AB$6:$AB$55,$AC$6:$AC$55,"="&amp;SUBSTITUTE(SUBSTITUTE(SUBSTITUTE(AC49,"~","~~"),"*","~*"),"?","~?"),$D$6:$D$55,D49)=1,SUMIFS($E$6:$E$55,$AC$6:$AC$55,"="&amp;SUBSTITUTE(SUBSTITUTE(SUBSTITUTE(AC49,"~","~~"),"*","~*"),"?","~?"),$D$6:$D$55,D49)+SUMIFS($F$6:$F$55,$AC$6:$AC$55,"="&amp;SUBSTITUTE(SUBSTITUTE(SUBSTITUTE(AC49,"~","~~"),"*","~*"),"?","~?"),$D$6:$D$55,D49),""))</f>
        <v/>
      </c>
      <c r="H49" s="6">
        <f>IF(OR(A49="",D49=""),"",SUMIFS($AA$6:$AA$55,$AC$6:$AC$55,"="&amp;SUBSTITUTE(SUBSTITUTE(SUBSTITUTE(AC49,"~","~~"),"*","~*"),"?","~?"),$D$6:$D$55,D49))</f>
        <v/>
      </c>
      <c r="I49" s="6">
        <f>IF(G49="","",G49-H49)</f>
        <v/>
      </c>
      <c r="J49" s="7">
        <f>IF(COUNTA(A49:F49,L49:Z49)=0,"",IF(OR(A49="",D49=""),"ID・基準日要入力",IF(SUMIFS($AB$6:$AB$55,$AC$6:$AC$55,"="&amp;SUBSTITUTE(SUBSTITUTE(SUBSTITUTE(AC49,"~","~~"),"*","~*"),"?","~?"),$D$6:$D$55,D49)&lt;&gt;1,"付与は1行に入力",IF(SUMIFS($F$6:$F$55,$AC$6:$AC$55,"="&amp;SUBSTITUTE(SUBSTITUTE(SUBSTITUTE(AC49,"~","~~"),"*","~*"),"?","~?"),$D$6:$D$55,D49)&lt;10,"対象外",IF(H49&gt;=5,"済","未達")))))</f>
        <v/>
      </c>
      <c r="K49" s="4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6">
        <f>IF(COUNTA(L49:Z49)=0,"",COUNTA(L49:Z49))</f>
        <v/>
      </c>
      <c r="AB49" s="4">
        <f>IF(COUNT(E49:F49)=0,0,1)</f>
        <v/>
      </c>
      <c r="AC49" s="4">
        <f>IF(A49="","","ID:"&amp;A49)</f>
        <v/>
      </c>
    </row>
    <row r="50" ht="30" customHeight="1">
      <c r="A50" s="3" t="n"/>
      <c r="B50" s="4" t="n"/>
      <c r="C50" s="5" t="n"/>
      <c r="D50" s="5" t="n"/>
      <c r="E50" s="4" t="n"/>
      <c r="F50" s="4" t="n"/>
      <c r="G50" s="4">
        <f>IF(OR(A50="",D50=""),"",IF(SUMIFS($AB$6:$AB$55,$AC$6:$AC$55,"="&amp;SUBSTITUTE(SUBSTITUTE(SUBSTITUTE(AC50,"~","~~"),"*","~*"),"?","~?"),$D$6:$D$55,D50)=1,SUMIFS($E$6:$E$55,$AC$6:$AC$55,"="&amp;SUBSTITUTE(SUBSTITUTE(SUBSTITUTE(AC50,"~","~~"),"*","~*"),"?","~?"),$D$6:$D$55,D50)+SUMIFS($F$6:$F$55,$AC$6:$AC$55,"="&amp;SUBSTITUTE(SUBSTITUTE(SUBSTITUTE(AC50,"~","~~"),"*","~*"),"?","~?"),$D$6:$D$55,D50),""))</f>
        <v/>
      </c>
      <c r="H50" s="6">
        <f>IF(OR(A50="",D50=""),"",SUMIFS($AA$6:$AA$55,$AC$6:$AC$55,"="&amp;SUBSTITUTE(SUBSTITUTE(SUBSTITUTE(AC50,"~","~~"),"*","~*"),"?","~?"),$D$6:$D$55,D50))</f>
        <v/>
      </c>
      <c r="I50" s="6">
        <f>IF(G50="","",G50-H50)</f>
        <v/>
      </c>
      <c r="J50" s="7">
        <f>IF(COUNTA(A50:F50,L50:Z50)=0,"",IF(OR(A50="",D50=""),"ID・基準日要入力",IF(SUMIFS($AB$6:$AB$55,$AC$6:$AC$55,"="&amp;SUBSTITUTE(SUBSTITUTE(SUBSTITUTE(AC50,"~","~~"),"*","~*"),"?","~?"),$D$6:$D$55,D50)&lt;&gt;1,"付与は1行に入力",IF(SUMIFS($F$6:$F$55,$AC$6:$AC$55,"="&amp;SUBSTITUTE(SUBSTITUTE(SUBSTITUTE(AC50,"~","~~"),"*","~*"),"?","~?"),$D$6:$D$55,D50)&lt;10,"対象外",IF(H50&gt;=5,"済","未達")))))</f>
        <v/>
      </c>
      <c r="K50" s="4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6">
        <f>IF(COUNTA(L50:Z50)=0,"",COUNTA(L50:Z50))</f>
        <v/>
      </c>
      <c r="AB50" s="4">
        <f>IF(COUNT(E50:F50)=0,0,1)</f>
        <v/>
      </c>
      <c r="AC50" s="4">
        <f>IF(A50="","","ID:"&amp;A50)</f>
        <v/>
      </c>
    </row>
    <row r="51" ht="30" customHeight="1">
      <c r="A51" s="3" t="n"/>
      <c r="B51" s="4" t="n"/>
      <c r="C51" s="5" t="n"/>
      <c r="D51" s="5" t="n"/>
      <c r="E51" s="4" t="n"/>
      <c r="F51" s="4" t="n"/>
      <c r="G51" s="4">
        <f>IF(OR(A51="",D51=""),"",IF(SUMIFS($AB$6:$AB$55,$AC$6:$AC$55,"="&amp;SUBSTITUTE(SUBSTITUTE(SUBSTITUTE(AC51,"~","~~"),"*","~*"),"?","~?"),$D$6:$D$55,D51)=1,SUMIFS($E$6:$E$55,$AC$6:$AC$55,"="&amp;SUBSTITUTE(SUBSTITUTE(SUBSTITUTE(AC51,"~","~~"),"*","~*"),"?","~?"),$D$6:$D$55,D51)+SUMIFS($F$6:$F$55,$AC$6:$AC$55,"="&amp;SUBSTITUTE(SUBSTITUTE(SUBSTITUTE(AC51,"~","~~"),"*","~*"),"?","~?"),$D$6:$D$55,D51),""))</f>
        <v/>
      </c>
      <c r="H51" s="6">
        <f>IF(OR(A51="",D51=""),"",SUMIFS($AA$6:$AA$55,$AC$6:$AC$55,"="&amp;SUBSTITUTE(SUBSTITUTE(SUBSTITUTE(AC51,"~","~~"),"*","~*"),"?","~?"),$D$6:$D$55,D51))</f>
        <v/>
      </c>
      <c r="I51" s="6">
        <f>IF(G51="","",G51-H51)</f>
        <v/>
      </c>
      <c r="J51" s="7">
        <f>IF(COUNTA(A51:F51,L51:Z51)=0,"",IF(OR(A51="",D51=""),"ID・基準日要入力",IF(SUMIFS($AB$6:$AB$55,$AC$6:$AC$55,"="&amp;SUBSTITUTE(SUBSTITUTE(SUBSTITUTE(AC51,"~","~~"),"*","~*"),"?","~?"),$D$6:$D$55,D51)&lt;&gt;1,"付与は1行に入力",IF(SUMIFS($F$6:$F$55,$AC$6:$AC$55,"="&amp;SUBSTITUTE(SUBSTITUTE(SUBSTITUTE(AC51,"~","~~"),"*","~*"),"?","~?"),$D$6:$D$55,D51)&lt;10,"対象外",IF(H51&gt;=5,"済","未達")))))</f>
        <v/>
      </c>
      <c r="K51" s="4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6">
        <f>IF(COUNTA(L51:Z51)=0,"",COUNTA(L51:Z51))</f>
        <v/>
      </c>
      <c r="AB51" s="4">
        <f>IF(COUNT(E51:F51)=0,0,1)</f>
        <v/>
      </c>
      <c r="AC51" s="4">
        <f>IF(A51="","","ID:"&amp;A51)</f>
        <v/>
      </c>
    </row>
    <row r="52" ht="30" customHeight="1">
      <c r="A52" s="3" t="n"/>
      <c r="B52" s="4" t="n"/>
      <c r="C52" s="5" t="n"/>
      <c r="D52" s="5" t="n"/>
      <c r="E52" s="4" t="n"/>
      <c r="F52" s="4" t="n"/>
      <c r="G52" s="4">
        <f>IF(OR(A52="",D52=""),"",IF(SUMIFS($AB$6:$AB$55,$AC$6:$AC$55,"="&amp;SUBSTITUTE(SUBSTITUTE(SUBSTITUTE(AC52,"~","~~"),"*","~*"),"?","~?"),$D$6:$D$55,D52)=1,SUMIFS($E$6:$E$55,$AC$6:$AC$55,"="&amp;SUBSTITUTE(SUBSTITUTE(SUBSTITUTE(AC52,"~","~~"),"*","~*"),"?","~?"),$D$6:$D$55,D52)+SUMIFS($F$6:$F$55,$AC$6:$AC$55,"="&amp;SUBSTITUTE(SUBSTITUTE(SUBSTITUTE(AC52,"~","~~"),"*","~*"),"?","~?"),$D$6:$D$55,D52),""))</f>
        <v/>
      </c>
      <c r="H52" s="6">
        <f>IF(OR(A52="",D52=""),"",SUMIFS($AA$6:$AA$55,$AC$6:$AC$55,"="&amp;SUBSTITUTE(SUBSTITUTE(SUBSTITUTE(AC52,"~","~~"),"*","~*"),"?","~?"),$D$6:$D$55,D52))</f>
        <v/>
      </c>
      <c r="I52" s="6">
        <f>IF(G52="","",G52-H52)</f>
        <v/>
      </c>
      <c r="J52" s="7">
        <f>IF(COUNTA(A52:F52,L52:Z52)=0,"",IF(OR(A52="",D52=""),"ID・基準日要入力",IF(SUMIFS($AB$6:$AB$55,$AC$6:$AC$55,"="&amp;SUBSTITUTE(SUBSTITUTE(SUBSTITUTE(AC52,"~","~~"),"*","~*"),"?","~?"),$D$6:$D$55,D52)&lt;&gt;1,"付与は1行に入力",IF(SUMIFS($F$6:$F$55,$AC$6:$AC$55,"="&amp;SUBSTITUTE(SUBSTITUTE(SUBSTITUTE(AC52,"~","~~"),"*","~*"),"?","~?"),$D$6:$D$55,D52)&lt;10,"対象外",IF(H52&gt;=5,"済","未達")))))</f>
        <v/>
      </c>
      <c r="K52" s="4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6">
        <f>IF(COUNTA(L52:Z52)=0,"",COUNTA(L52:Z52))</f>
        <v/>
      </c>
      <c r="AB52" s="4">
        <f>IF(COUNT(E52:F52)=0,0,1)</f>
        <v/>
      </c>
      <c r="AC52" s="4">
        <f>IF(A52="","","ID:"&amp;A52)</f>
        <v/>
      </c>
    </row>
    <row r="53" ht="30" customHeight="1">
      <c r="A53" s="3" t="n"/>
      <c r="B53" s="4" t="n"/>
      <c r="C53" s="5" t="n"/>
      <c r="D53" s="5" t="n"/>
      <c r="E53" s="4" t="n"/>
      <c r="F53" s="4" t="n"/>
      <c r="G53" s="4">
        <f>IF(OR(A53="",D53=""),"",IF(SUMIFS($AB$6:$AB$55,$AC$6:$AC$55,"="&amp;SUBSTITUTE(SUBSTITUTE(SUBSTITUTE(AC53,"~","~~"),"*","~*"),"?","~?"),$D$6:$D$55,D53)=1,SUMIFS($E$6:$E$55,$AC$6:$AC$55,"="&amp;SUBSTITUTE(SUBSTITUTE(SUBSTITUTE(AC53,"~","~~"),"*","~*"),"?","~?"),$D$6:$D$55,D53)+SUMIFS($F$6:$F$55,$AC$6:$AC$55,"="&amp;SUBSTITUTE(SUBSTITUTE(SUBSTITUTE(AC53,"~","~~"),"*","~*"),"?","~?"),$D$6:$D$55,D53),""))</f>
        <v/>
      </c>
      <c r="H53" s="6">
        <f>IF(OR(A53="",D53=""),"",SUMIFS($AA$6:$AA$55,$AC$6:$AC$55,"="&amp;SUBSTITUTE(SUBSTITUTE(SUBSTITUTE(AC53,"~","~~"),"*","~*"),"?","~?"),$D$6:$D$55,D53))</f>
        <v/>
      </c>
      <c r="I53" s="6">
        <f>IF(G53="","",G53-H53)</f>
        <v/>
      </c>
      <c r="J53" s="7">
        <f>IF(COUNTA(A53:F53,L53:Z53)=0,"",IF(OR(A53="",D53=""),"ID・基準日要入力",IF(SUMIFS($AB$6:$AB$55,$AC$6:$AC$55,"="&amp;SUBSTITUTE(SUBSTITUTE(SUBSTITUTE(AC53,"~","~~"),"*","~*"),"?","~?"),$D$6:$D$55,D53)&lt;&gt;1,"付与は1行に入力",IF(SUMIFS($F$6:$F$55,$AC$6:$AC$55,"="&amp;SUBSTITUTE(SUBSTITUTE(SUBSTITUTE(AC53,"~","~~"),"*","~*"),"?","~?"),$D$6:$D$55,D53)&lt;10,"対象外",IF(H53&gt;=5,"済","未達")))))</f>
        <v/>
      </c>
      <c r="K53" s="4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6">
        <f>IF(COUNTA(L53:Z53)=0,"",COUNTA(L53:Z53))</f>
        <v/>
      </c>
      <c r="AB53" s="4">
        <f>IF(COUNT(E53:F53)=0,0,1)</f>
        <v/>
      </c>
      <c r="AC53" s="4">
        <f>IF(A53="","","ID:"&amp;A53)</f>
        <v/>
      </c>
    </row>
    <row r="54" ht="30" customHeight="1">
      <c r="A54" s="3" t="n"/>
      <c r="B54" s="4" t="n"/>
      <c r="C54" s="5" t="n"/>
      <c r="D54" s="5" t="n"/>
      <c r="E54" s="4" t="n"/>
      <c r="F54" s="4" t="n"/>
      <c r="G54" s="4">
        <f>IF(OR(A54="",D54=""),"",IF(SUMIFS($AB$6:$AB$55,$AC$6:$AC$55,"="&amp;SUBSTITUTE(SUBSTITUTE(SUBSTITUTE(AC54,"~","~~"),"*","~*"),"?","~?"),$D$6:$D$55,D54)=1,SUMIFS($E$6:$E$55,$AC$6:$AC$55,"="&amp;SUBSTITUTE(SUBSTITUTE(SUBSTITUTE(AC54,"~","~~"),"*","~*"),"?","~?"),$D$6:$D$55,D54)+SUMIFS($F$6:$F$55,$AC$6:$AC$55,"="&amp;SUBSTITUTE(SUBSTITUTE(SUBSTITUTE(AC54,"~","~~"),"*","~*"),"?","~?"),$D$6:$D$55,D54),""))</f>
        <v/>
      </c>
      <c r="H54" s="6">
        <f>IF(OR(A54="",D54=""),"",SUMIFS($AA$6:$AA$55,$AC$6:$AC$55,"="&amp;SUBSTITUTE(SUBSTITUTE(SUBSTITUTE(AC54,"~","~~"),"*","~*"),"?","~?"),$D$6:$D$55,D54))</f>
        <v/>
      </c>
      <c r="I54" s="6">
        <f>IF(G54="","",G54-H54)</f>
        <v/>
      </c>
      <c r="J54" s="7">
        <f>IF(COUNTA(A54:F54,L54:Z54)=0,"",IF(OR(A54="",D54=""),"ID・基準日要入力",IF(SUMIFS($AB$6:$AB$55,$AC$6:$AC$55,"="&amp;SUBSTITUTE(SUBSTITUTE(SUBSTITUTE(AC54,"~","~~"),"*","~*"),"?","~?"),$D$6:$D$55,D54)&lt;&gt;1,"付与は1行に入力",IF(SUMIFS($F$6:$F$55,$AC$6:$AC$55,"="&amp;SUBSTITUTE(SUBSTITUTE(SUBSTITUTE(AC54,"~","~~"),"*","~*"),"?","~?"),$D$6:$D$55,D54)&lt;10,"対象外",IF(H54&gt;=5,"済","未達")))))</f>
        <v/>
      </c>
      <c r="K54" s="4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6">
        <f>IF(COUNTA(L54:Z54)=0,"",COUNTA(L54:Z54))</f>
        <v/>
      </c>
      <c r="AB54" s="4">
        <f>IF(COUNT(E54:F54)=0,0,1)</f>
        <v/>
      </c>
      <c r="AC54" s="4">
        <f>IF(A54="","","ID:"&amp;A54)</f>
        <v/>
      </c>
    </row>
    <row r="55" ht="30" customHeight="1">
      <c r="A55" s="3" t="n"/>
      <c r="B55" s="4" t="n"/>
      <c r="C55" s="5" t="n"/>
      <c r="D55" s="5" t="n"/>
      <c r="E55" s="4" t="n"/>
      <c r="F55" s="4" t="n"/>
      <c r="G55" s="4">
        <f>IF(OR(A55="",D55=""),"",IF(SUMIFS($AB$6:$AB$55,$AC$6:$AC$55,"="&amp;SUBSTITUTE(SUBSTITUTE(SUBSTITUTE(AC55,"~","~~"),"*","~*"),"?","~?"),$D$6:$D$55,D55)=1,SUMIFS($E$6:$E$55,$AC$6:$AC$55,"="&amp;SUBSTITUTE(SUBSTITUTE(SUBSTITUTE(AC55,"~","~~"),"*","~*"),"?","~?"),$D$6:$D$55,D55)+SUMIFS($F$6:$F$55,$AC$6:$AC$55,"="&amp;SUBSTITUTE(SUBSTITUTE(SUBSTITUTE(AC55,"~","~~"),"*","~*"),"?","~?"),$D$6:$D$55,D55),""))</f>
        <v/>
      </c>
      <c r="H55" s="6">
        <f>IF(OR(A55="",D55=""),"",SUMIFS($AA$6:$AA$55,$AC$6:$AC$55,"="&amp;SUBSTITUTE(SUBSTITUTE(SUBSTITUTE(AC55,"~","~~"),"*","~*"),"?","~?"),$D$6:$D$55,D55))</f>
        <v/>
      </c>
      <c r="I55" s="6">
        <f>IF(G55="","",G55-H55)</f>
        <v/>
      </c>
      <c r="J55" s="7">
        <f>IF(COUNTA(A55:F55,L55:Z55)=0,"",IF(OR(A55="",D55=""),"ID・基準日要入力",IF(SUMIFS($AB$6:$AB$55,$AC$6:$AC$55,"="&amp;SUBSTITUTE(SUBSTITUTE(SUBSTITUTE(AC55,"~","~~"),"*","~*"),"?","~?"),$D$6:$D$55,D55)&lt;&gt;1,"付与は1行に入力",IF(SUMIFS($F$6:$F$55,$AC$6:$AC$55,"="&amp;SUBSTITUTE(SUBSTITUTE(SUBSTITUTE(AC55,"~","~~"),"*","~*"),"?","~?"),$D$6:$D$55,D55)&lt;10,"対象外",IF(H55&gt;=5,"済","未達")))))</f>
        <v/>
      </c>
      <c r="K55" s="4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6">
        <f>IF(COUNTA(L55:Z55)=0,"",COUNTA(L55:Z55))</f>
        <v/>
      </c>
      <c r="AB55" s="4">
        <f>IF(COUNT(E55:F55)=0,0,1)</f>
        <v/>
      </c>
      <c r="AC55" s="4">
        <f>IF(A55="","","ID:"&amp;A55)</f>
        <v/>
      </c>
    </row>
    <row r="57" ht="32" customHeight="1">
      <c r="A57" s="9" t="inlineStr">
        <is>
          <t>社員ID（社員番号など、同姓の別人を区別できる番号）と基準日を必ず入力。同じ社員ID・基準日の継続行は合算されます。前年繰越・今年付与は主行1行だけに入力し、継続行では空欄にします。</t>
        </is>
      </c>
    </row>
    <row r="58" ht="32" customHeight="1">
      <c r="A58" s="9" t="inlineStr">
        <is>
          <t>取得日が16日以上なら、同じ社員ID・基準日を次行に入力して続けてください。半日取得はAA列「当行取得日数」を0.5日単位の合計へ手修正（H列は合算結果なので変更しない）。時間単位取得は別途管理し、年5日の判定に含めません。</t>
        </is>
      </c>
    </row>
  </sheetData>
  <mergeCells count="2">
    <mergeCell ref="A58:AA58"/>
    <mergeCell ref="A57:AA57"/>
  </mergeCells>
  <dataValidations count="3">
    <dataValidation sqref="E6:E55" showDropDown="0" showInputMessage="0" showErrorMessage="1" allowBlank="1" errorTitle="日数で入力" error="0以上の日数を数値で入力してください。半日は0.5として数えます。" type="decimal" errorStyle="stop" operator="between">
      <formula1>0</formula1>
      <formula2>366</formula2>
    </dataValidation>
    <dataValidation sqref="F6:F55" showDropDown="0" showInputMessage="0" showErrorMessage="1" allowBlank="1" errorTitle="日数で入力" error="0以上の日数を数値で入力してください。半日は0.5として数えます。" type="decimal" errorStyle="stop" operator="between">
      <formula1>0</formula1>
      <formula2>366</formula2>
    </dataValidation>
    <dataValidation sqref="AA6:AA55" showDropDown="0" showInputMessage="0" showErrorMessage="1" allowBlank="1" errorTitle="日数で入力" error="0以上の日数を数値で入力してください。半日は0.5として数えます。" type="decimal" errorStyle="stop" operator="between">
      <formula1>0</formula1>
      <formula2>366</formula2>
    </dataValidation>
  </dataValidation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2026-10-04T04:38:42Z</dcterms:created>
  <dcterms:modified xmlns:dcterms="http://purl.org/dc/terms/" xmlns:xsi="http://www.w3.org/2001/XMLSchema-instance" xsi:type="dcterms:W3CDTF">2026-10-04T04:38:42Z</dcterms:modified>
</cp:coreProperties>
</file>