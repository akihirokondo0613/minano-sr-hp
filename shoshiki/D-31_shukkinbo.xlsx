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簿" sheetId="1" state="visible" r:id="rId1"/>
  </sheets>
  <definedNames>
    <definedName name="_xlnm.Print_Titles" localSheetId="0">'出勤簿'!$1:$5</definedName>
    <definedName name="_xlnm.Print_Area" localSheetId="0">'出勤簿'!$A$1:$K$41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F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2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9" customWidth="1" min="4" max="4"/>
    <col width="9" customWidth="1" min="5" max="5"/>
    <col width="9" customWidth="1" min="6" max="6"/>
    <col width="11" customWidth="1" min="7" max="7"/>
    <col width="12" customWidth="1" min="8" max="8"/>
    <col width="9" customWidth="1" min="9" max="9"/>
    <col width="26" customWidth="1" min="10" max="10"/>
    <col width="13" customWidth="1" min="11" max="11"/>
  </cols>
  <sheetData>
    <row r="1">
      <c r="A1" s="1" t="inlineStr">
        <is>
          <t>出勤簿</t>
        </is>
      </c>
    </row>
    <row r="2">
      <c r="A2" t="inlineStr">
        <is>
          <t>会社名</t>
        </is>
      </c>
      <c r="B2" t="inlineStr">
        <is>
          <t>【会社名】</t>
        </is>
      </c>
      <c r="D2" t="inlineStr">
        <is>
          <t>氏名</t>
        </is>
      </c>
      <c r="G2" t="inlineStr">
        <is>
          <t>対象月</t>
        </is>
      </c>
      <c r="H2" t="inlineStr">
        <is>
          <t>2026/10</t>
        </is>
      </c>
    </row>
    <row r="3">
      <c r="A3" t="inlineStr">
        <is>
          <t>所定：始業</t>
        </is>
      </c>
      <c r="B3" s="2" t="n">
        <v>0.375</v>
      </c>
      <c r="C3" t="inlineStr">
        <is>
          <t>終業</t>
        </is>
      </c>
      <c r="D3" s="2" t="n">
        <v>0.75</v>
      </c>
      <c r="E3" t="inlineStr">
        <is>
          <t>休憩(分)</t>
        </is>
      </c>
      <c r="F3" t="n">
        <v>60</v>
      </c>
      <c r="G3" t="inlineStr">
        <is>
          <t>所定労働(h)</t>
        </is>
      </c>
      <c r="H3" s="3">
        <f>(D3+IF(D3&lt;B3,1,0)-B3)*24-F3/60</f>
        <v/>
      </c>
    </row>
    <row r="5" ht="30" customHeight="1">
      <c r="A5" s="4" t="inlineStr">
        <is>
          <t>日</t>
        </is>
      </c>
      <c r="B5" s="4" t="inlineStr">
        <is>
          <t>曜日</t>
        </is>
      </c>
      <c r="C5" s="4" t="inlineStr">
        <is>
          <t>区分</t>
        </is>
      </c>
      <c r="D5" s="4" t="inlineStr">
        <is>
          <t>始業</t>
        </is>
      </c>
      <c r="E5" s="4" t="inlineStr">
        <is>
          <t>終業</t>
        </is>
      </c>
      <c r="F5" s="4" t="inlineStr">
        <is>
          <t>休憩(分)</t>
        </is>
      </c>
      <c r="G5" s="4" t="inlineStr">
        <is>
          <t>実労働(h)</t>
        </is>
      </c>
      <c r="H5" s="4" t="inlineStr">
        <is>
          <t>時間外(h)</t>
        </is>
      </c>
      <c r="I5" s="4" t="inlineStr">
        <is>
          <t>深夜(h)</t>
        </is>
      </c>
      <c r="J5" s="4" t="inlineStr">
        <is>
          <t>備考</t>
        </is>
      </c>
      <c r="K5" s="4" t="inlineStr">
        <is>
          <t>深夜休憩(分)</t>
        </is>
      </c>
    </row>
    <row r="6">
      <c r="A6" s="5">
        <f>IF(1&lt;=DAY(EOMONTH(DATEVALUE($H$2&amp;"/1"),0)),1,"")</f>
        <v/>
      </c>
      <c r="B6" s="5">
        <f>IF(A6="","",TEXT(DATE(YEAR(DATEVALUE($H$2&amp;"/1")),MONTH(DATEVALUE($H$2&amp;"/1")),A6),"aaa"))</f>
        <v/>
      </c>
      <c r="C6" s="5">
        <f>IF(A6="","","出勤")</f>
        <v/>
      </c>
      <c r="D6" s="6" t="n"/>
      <c r="E6" s="6" t="n"/>
      <c r="F6" s="5">
        <f>IF(A6="","",60)</f>
        <v/>
      </c>
      <c r="G6" s="7">
        <f>IF(OR(A6="",D6="",E6=""),"",IF(OR(OR(D6&lt;0,D6&gt;=1,E6&lt;0,((E6+IF(E6&lt;D6,1,0))-D6)&lt;0,((E6+IF(E6&lt;D6,1,0))-D6)&gt;=1),F6&lt;0,F6&gt;((E6+IF(E6&lt;D6,1,0))-D6)*1440),NA(),ROUND(((E6+IF(E6&lt;D6,1,0))-D6)*24-F6/60,2)))</f>
        <v/>
      </c>
      <c r="H6" s="7">
        <f>IF(G6="","",MAX(0,G6-$H$3))</f>
        <v/>
      </c>
      <c r="I6" s="7">
        <f>IF(OR(A6="",D6="",E6=""),"",IF(OR(OR(D6&lt;0,D6&gt;=1,E6&lt;0,((E6+IF(E6&lt;D6,1,0))-D6)&lt;0,((E6+IF(E6&lt;D6,1,0))-D6)&gt;=1),K6&lt;0,K6&gt;F6,K6&gt;(MAX(0,MIN((E6+IF(E6&lt;D6,1,0)),TIME(5,0,0))-MAX(D6,0))+MAX(0,MIN((E6+IF(E6&lt;D6,1,0)),1+TIME(5,0,0))-MAX(D6,TIME(22,0,0)))+MAX(0,MIN((E6+IF(E6&lt;D6,1,0)),2+TIME(5,0,0))-MAX(D6,1+TIME(22,0,0))))*1440+0.000001),NA(),ROUND(((MAX(0,MIN((E6+IF(E6&lt;D6,1,0)),TIME(5,0,0))-MAX(D6,0))+MAX(0,MIN((E6+IF(E6&lt;D6,1,0)),1+TIME(5,0,0))-MAX(D6,TIME(22,0,0)))+MAX(0,MIN((E6+IF(E6&lt;D6,1,0)),2+TIME(5,0,0))-MAX(D6,1+TIME(22,0,0))))*1440-K6)/60,2)))</f>
        <v/>
      </c>
      <c r="J6" s="5" t="n"/>
      <c r="K6" s="5">
        <f>IF(A6="","",0)</f>
        <v/>
      </c>
    </row>
    <row r="7">
      <c r="A7" s="5">
        <f>IF(2&lt;=DAY(EOMONTH(DATEVALUE($H$2&amp;"/1"),0)),2,"")</f>
        <v/>
      </c>
      <c r="B7" s="5">
        <f>IF(A7="","",TEXT(DATE(YEAR(DATEVALUE($H$2&amp;"/1")),MONTH(DATEVALUE($H$2&amp;"/1")),A7),"aaa"))</f>
        <v/>
      </c>
      <c r="C7" s="5">
        <f>IF(A7="","","出勤")</f>
        <v/>
      </c>
      <c r="D7" s="6" t="n"/>
      <c r="E7" s="6" t="n"/>
      <c r="F7" s="5">
        <f>IF(A7="","",60)</f>
        <v/>
      </c>
      <c r="G7" s="7">
        <f>IF(OR(A7="",D7="",E7=""),"",IF(OR(OR(D7&lt;0,D7&gt;=1,E7&lt;0,((E7+IF(E7&lt;D7,1,0))-D7)&lt;0,((E7+IF(E7&lt;D7,1,0))-D7)&gt;=1),F7&lt;0,F7&gt;((E7+IF(E7&lt;D7,1,0))-D7)*1440),NA(),ROUND(((E7+IF(E7&lt;D7,1,0))-D7)*24-F7/60,2)))</f>
        <v/>
      </c>
      <c r="H7" s="7">
        <f>IF(G7="","",MAX(0,G7-$H$3))</f>
        <v/>
      </c>
      <c r="I7" s="7">
        <f>IF(OR(A7="",D7="",E7=""),"",IF(OR(OR(D7&lt;0,D7&gt;=1,E7&lt;0,((E7+IF(E7&lt;D7,1,0))-D7)&lt;0,((E7+IF(E7&lt;D7,1,0))-D7)&gt;=1),K7&lt;0,K7&gt;F7,K7&gt;(MAX(0,MIN((E7+IF(E7&lt;D7,1,0)),TIME(5,0,0))-MAX(D7,0))+MAX(0,MIN((E7+IF(E7&lt;D7,1,0)),1+TIME(5,0,0))-MAX(D7,TIME(22,0,0)))+MAX(0,MIN((E7+IF(E7&lt;D7,1,0)),2+TIME(5,0,0))-MAX(D7,1+TIME(22,0,0))))*1440+0.000001),NA(),ROUND(((MAX(0,MIN((E7+IF(E7&lt;D7,1,0)),TIME(5,0,0))-MAX(D7,0))+MAX(0,MIN((E7+IF(E7&lt;D7,1,0)),1+TIME(5,0,0))-MAX(D7,TIME(22,0,0)))+MAX(0,MIN((E7+IF(E7&lt;D7,1,0)),2+TIME(5,0,0))-MAX(D7,1+TIME(22,0,0))))*1440-K7)/60,2)))</f>
        <v/>
      </c>
      <c r="J7" s="5" t="n"/>
      <c r="K7" s="5">
        <f>IF(A7="","",0)</f>
        <v/>
      </c>
    </row>
    <row r="8">
      <c r="A8" s="5">
        <f>IF(3&lt;=DAY(EOMONTH(DATEVALUE($H$2&amp;"/1"),0)),3,"")</f>
        <v/>
      </c>
      <c r="B8" s="5">
        <f>IF(A8="","",TEXT(DATE(YEAR(DATEVALUE($H$2&amp;"/1")),MONTH(DATEVALUE($H$2&amp;"/1")),A8),"aaa"))</f>
        <v/>
      </c>
      <c r="C8" s="5">
        <f>IF(A8="","","出勤")</f>
        <v/>
      </c>
      <c r="D8" s="6" t="n"/>
      <c r="E8" s="6" t="n"/>
      <c r="F8" s="5">
        <f>IF(A8="","",60)</f>
        <v/>
      </c>
      <c r="G8" s="7">
        <f>IF(OR(A8="",D8="",E8=""),"",IF(OR(OR(D8&lt;0,D8&gt;=1,E8&lt;0,((E8+IF(E8&lt;D8,1,0))-D8)&lt;0,((E8+IF(E8&lt;D8,1,0))-D8)&gt;=1),F8&lt;0,F8&gt;((E8+IF(E8&lt;D8,1,0))-D8)*1440),NA(),ROUND(((E8+IF(E8&lt;D8,1,0))-D8)*24-F8/60,2)))</f>
        <v/>
      </c>
      <c r="H8" s="7">
        <f>IF(G8="","",MAX(0,G8-$H$3))</f>
        <v/>
      </c>
      <c r="I8" s="7">
        <f>IF(OR(A8="",D8="",E8=""),"",IF(OR(OR(D8&lt;0,D8&gt;=1,E8&lt;0,((E8+IF(E8&lt;D8,1,0))-D8)&lt;0,((E8+IF(E8&lt;D8,1,0))-D8)&gt;=1),K8&lt;0,K8&gt;F8,K8&gt;(MAX(0,MIN((E8+IF(E8&lt;D8,1,0)),TIME(5,0,0))-MAX(D8,0))+MAX(0,MIN((E8+IF(E8&lt;D8,1,0)),1+TIME(5,0,0))-MAX(D8,TIME(22,0,0)))+MAX(0,MIN((E8+IF(E8&lt;D8,1,0)),2+TIME(5,0,0))-MAX(D8,1+TIME(22,0,0))))*1440+0.000001),NA(),ROUND(((MAX(0,MIN((E8+IF(E8&lt;D8,1,0)),TIME(5,0,0))-MAX(D8,0))+MAX(0,MIN((E8+IF(E8&lt;D8,1,0)),1+TIME(5,0,0))-MAX(D8,TIME(22,0,0)))+MAX(0,MIN((E8+IF(E8&lt;D8,1,0)),2+TIME(5,0,0))-MAX(D8,1+TIME(22,0,0))))*1440-K8)/60,2)))</f>
        <v/>
      </c>
      <c r="J8" s="5" t="n"/>
      <c r="K8" s="5">
        <f>IF(A8="","",0)</f>
        <v/>
      </c>
    </row>
    <row r="9">
      <c r="A9" s="5">
        <f>IF(4&lt;=DAY(EOMONTH(DATEVALUE($H$2&amp;"/1"),0)),4,"")</f>
        <v/>
      </c>
      <c r="B9" s="5">
        <f>IF(A9="","",TEXT(DATE(YEAR(DATEVALUE($H$2&amp;"/1")),MONTH(DATEVALUE($H$2&amp;"/1")),A9),"aaa"))</f>
        <v/>
      </c>
      <c r="C9" s="5">
        <f>IF(A9="","","出勤")</f>
        <v/>
      </c>
      <c r="D9" s="6" t="n"/>
      <c r="E9" s="6" t="n"/>
      <c r="F9" s="5">
        <f>IF(A9="","",60)</f>
        <v/>
      </c>
      <c r="G9" s="7">
        <f>IF(OR(A9="",D9="",E9=""),"",IF(OR(OR(D9&lt;0,D9&gt;=1,E9&lt;0,((E9+IF(E9&lt;D9,1,0))-D9)&lt;0,((E9+IF(E9&lt;D9,1,0))-D9)&gt;=1),F9&lt;0,F9&gt;((E9+IF(E9&lt;D9,1,0))-D9)*1440),NA(),ROUND(((E9+IF(E9&lt;D9,1,0))-D9)*24-F9/60,2)))</f>
        <v/>
      </c>
      <c r="H9" s="7">
        <f>IF(G9="","",MAX(0,G9-$H$3))</f>
        <v/>
      </c>
      <c r="I9" s="7">
        <f>IF(OR(A9="",D9="",E9=""),"",IF(OR(OR(D9&lt;0,D9&gt;=1,E9&lt;0,((E9+IF(E9&lt;D9,1,0))-D9)&lt;0,((E9+IF(E9&lt;D9,1,0))-D9)&gt;=1),K9&lt;0,K9&gt;F9,K9&gt;(MAX(0,MIN((E9+IF(E9&lt;D9,1,0)),TIME(5,0,0))-MAX(D9,0))+MAX(0,MIN((E9+IF(E9&lt;D9,1,0)),1+TIME(5,0,0))-MAX(D9,TIME(22,0,0)))+MAX(0,MIN((E9+IF(E9&lt;D9,1,0)),2+TIME(5,0,0))-MAX(D9,1+TIME(22,0,0))))*1440+0.000001),NA(),ROUND(((MAX(0,MIN((E9+IF(E9&lt;D9,1,0)),TIME(5,0,0))-MAX(D9,0))+MAX(0,MIN((E9+IF(E9&lt;D9,1,0)),1+TIME(5,0,0))-MAX(D9,TIME(22,0,0)))+MAX(0,MIN((E9+IF(E9&lt;D9,1,0)),2+TIME(5,0,0))-MAX(D9,1+TIME(22,0,0))))*1440-K9)/60,2)))</f>
        <v/>
      </c>
      <c r="J9" s="5" t="n"/>
      <c r="K9" s="5">
        <f>IF(A9="","",0)</f>
        <v/>
      </c>
    </row>
    <row r="10">
      <c r="A10" s="5">
        <f>IF(5&lt;=DAY(EOMONTH(DATEVALUE($H$2&amp;"/1"),0)),5,"")</f>
        <v/>
      </c>
      <c r="B10" s="5">
        <f>IF(A10="","",TEXT(DATE(YEAR(DATEVALUE($H$2&amp;"/1")),MONTH(DATEVALUE($H$2&amp;"/1")),A10),"aaa"))</f>
        <v/>
      </c>
      <c r="C10" s="5">
        <f>IF(A10="","","出勤")</f>
        <v/>
      </c>
      <c r="D10" s="6" t="n"/>
      <c r="E10" s="6" t="n"/>
      <c r="F10" s="5">
        <f>IF(A10="","",60)</f>
        <v/>
      </c>
      <c r="G10" s="7">
        <f>IF(OR(A10="",D10="",E10=""),"",IF(OR(OR(D10&lt;0,D10&gt;=1,E10&lt;0,((E10+IF(E10&lt;D10,1,0))-D10)&lt;0,((E10+IF(E10&lt;D10,1,0))-D10)&gt;=1),F10&lt;0,F10&gt;((E10+IF(E10&lt;D10,1,0))-D10)*1440),NA(),ROUND(((E10+IF(E10&lt;D10,1,0))-D10)*24-F10/60,2)))</f>
        <v/>
      </c>
      <c r="H10" s="7">
        <f>IF(G10="","",MAX(0,G10-$H$3))</f>
        <v/>
      </c>
      <c r="I10" s="7">
        <f>IF(OR(A10="",D10="",E10=""),"",IF(OR(OR(D10&lt;0,D10&gt;=1,E10&lt;0,((E10+IF(E10&lt;D10,1,0))-D10)&lt;0,((E10+IF(E10&lt;D10,1,0))-D10)&gt;=1),K10&lt;0,K10&gt;F10,K10&gt;(MAX(0,MIN((E10+IF(E10&lt;D10,1,0)),TIME(5,0,0))-MAX(D10,0))+MAX(0,MIN((E10+IF(E10&lt;D10,1,0)),1+TIME(5,0,0))-MAX(D10,TIME(22,0,0)))+MAX(0,MIN((E10+IF(E10&lt;D10,1,0)),2+TIME(5,0,0))-MAX(D10,1+TIME(22,0,0))))*1440+0.000001),NA(),ROUND(((MAX(0,MIN((E10+IF(E10&lt;D10,1,0)),TIME(5,0,0))-MAX(D10,0))+MAX(0,MIN((E10+IF(E10&lt;D10,1,0)),1+TIME(5,0,0))-MAX(D10,TIME(22,0,0)))+MAX(0,MIN((E10+IF(E10&lt;D10,1,0)),2+TIME(5,0,0))-MAX(D10,1+TIME(22,0,0))))*1440-K10)/60,2)))</f>
        <v/>
      </c>
      <c r="J10" s="5" t="n"/>
      <c r="K10" s="5">
        <f>IF(A10="","",0)</f>
        <v/>
      </c>
    </row>
    <row r="11">
      <c r="A11" s="5">
        <f>IF(6&lt;=DAY(EOMONTH(DATEVALUE($H$2&amp;"/1"),0)),6,"")</f>
        <v/>
      </c>
      <c r="B11" s="5">
        <f>IF(A11="","",TEXT(DATE(YEAR(DATEVALUE($H$2&amp;"/1")),MONTH(DATEVALUE($H$2&amp;"/1")),A11),"aaa"))</f>
        <v/>
      </c>
      <c r="C11" s="5">
        <f>IF(A11="","","出勤")</f>
        <v/>
      </c>
      <c r="D11" s="6" t="n"/>
      <c r="E11" s="6" t="n"/>
      <c r="F11" s="5">
        <f>IF(A11="","",60)</f>
        <v/>
      </c>
      <c r="G11" s="7">
        <f>IF(OR(A11="",D11="",E11=""),"",IF(OR(OR(D11&lt;0,D11&gt;=1,E11&lt;0,((E11+IF(E11&lt;D11,1,0))-D11)&lt;0,((E11+IF(E11&lt;D11,1,0))-D11)&gt;=1),F11&lt;0,F11&gt;((E11+IF(E11&lt;D11,1,0))-D11)*1440),NA(),ROUND(((E11+IF(E11&lt;D11,1,0))-D11)*24-F11/60,2)))</f>
        <v/>
      </c>
      <c r="H11" s="7">
        <f>IF(G11="","",MAX(0,G11-$H$3))</f>
        <v/>
      </c>
      <c r="I11" s="7">
        <f>IF(OR(A11="",D11="",E11=""),"",IF(OR(OR(D11&lt;0,D11&gt;=1,E11&lt;0,((E11+IF(E11&lt;D11,1,0))-D11)&lt;0,((E11+IF(E11&lt;D11,1,0))-D11)&gt;=1),K11&lt;0,K11&gt;F11,K11&gt;(MAX(0,MIN((E11+IF(E11&lt;D11,1,0)),TIME(5,0,0))-MAX(D11,0))+MAX(0,MIN((E11+IF(E11&lt;D11,1,0)),1+TIME(5,0,0))-MAX(D11,TIME(22,0,0)))+MAX(0,MIN((E11+IF(E11&lt;D11,1,0)),2+TIME(5,0,0))-MAX(D11,1+TIME(22,0,0))))*1440+0.000001),NA(),ROUND(((MAX(0,MIN((E11+IF(E11&lt;D11,1,0)),TIME(5,0,0))-MAX(D11,0))+MAX(0,MIN((E11+IF(E11&lt;D11,1,0)),1+TIME(5,0,0))-MAX(D11,TIME(22,0,0)))+MAX(0,MIN((E11+IF(E11&lt;D11,1,0)),2+TIME(5,0,0))-MAX(D11,1+TIME(22,0,0))))*1440-K11)/60,2)))</f>
        <v/>
      </c>
      <c r="J11" s="5" t="n"/>
      <c r="K11" s="5">
        <f>IF(A11="","",0)</f>
        <v/>
      </c>
    </row>
    <row r="12">
      <c r="A12" s="5">
        <f>IF(7&lt;=DAY(EOMONTH(DATEVALUE($H$2&amp;"/1"),0)),7,"")</f>
        <v/>
      </c>
      <c r="B12" s="5">
        <f>IF(A12="","",TEXT(DATE(YEAR(DATEVALUE($H$2&amp;"/1")),MONTH(DATEVALUE($H$2&amp;"/1")),A12),"aaa"))</f>
        <v/>
      </c>
      <c r="C12" s="5">
        <f>IF(A12="","","出勤")</f>
        <v/>
      </c>
      <c r="D12" s="6" t="n"/>
      <c r="E12" s="6" t="n"/>
      <c r="F12" s="5">
        <f>IF(A12="","",60)</f>
        <v/>
      </c>
      <c r="G12" s="7">
        <f>IF(OR(A12="",D12="",E12=""),"",IF(OR(OR(D12&lt;0,D12&gt;=1,E12&lt;0,((E12+IF(E12&lt;D12,1,0))-D12)&lt;0,((E12+IF(E12&lt;D12,1,0))-D12)&gt;=1),F12&lt;0,F12&gt;((E12+IF(E12&lt;D12,1,0))-D12)*1440),NA(),ROUND(((E12+IF(E12&lt;D12,1,0))-D12)*24-F12/60,2)))</f>
        <v/>
      </c>
      <c r="H12" s="7">
        <f>IF(G12="","",MAX(0,G12-$H$3))</f>
        <v/>
      </c>
      <c r="I12" s="7">
        <f>IF(OR(A12="",D12="",E12=""),"",IF(OR(OR(D12&lt;0,D12&gt;=1,E12&lt;0,((E12+IF(E12&lt;D12,1,0))-D12)&lt;0,((E12+IF(E12&lt;D12,1,0))-D12)&gt;=1),K12&lt;0,K12&gt;F12,K12&gt;(MAX(0,MIN((E12+IF(E12&lt;D12,1,0)),TIME(5,0,0))-MAX(D12,0))+MAX(0,MIN((E12+IF(E12&lt;D12,1,0)),1+TIME(5,0,0))-MAX(D12,TIME(22,0,0)))+MAX(0,MIN((E12+IF(E12&lt;D12,1,0)),2+TIME(5,0,0))-MAX(D12,1+TIME(22,0,0))))*1440+0.000001),NA(),ROUND(((MAX(0,MIN((E12+IF(E12&lt;D12,1,0)),TIME(5,0,0))-MAX(D12,0))+MAX(0,MIN((E12+IF(E12&lt;D12,1,0)),1+TIME(5,0,0))-MAX(D12,TIME(22,0,0)))+MAX(0,MIN((E12+IF(E12&lt;D12,1,0)),2+TIME(5,0,0))-MAX(D12,1+TIME(22,0,0))))*1440-K12)/60,2)))</f>
        <v/>
      </c>
      <c r="J12" s="5" t="n"/>
      <c r="K12" s="5">
        <f>IF(A12="","",0)</f>
        <v/>
      </c>
    </row>
    <row r="13">
      <c r="A13" s="5">
        <f>IF(8&lt;=DAY(EOMONTH(DATEVALUE($H$2&amp;"/1"),0)),8,"")</f>
        <v/>
      </c>
      <c r="B13" s="5">
        <f>IF(A13="","",TEXT(DATE(YEAR(DATEVALUE($H$2&amp;"/1")),MONTH(DATEVALUE($H$2&amp;"/1")),A13),"aaa"))</f>
        <v/>
      </c>
      <c r="C13" s="5">
        <f>IF(A13="","","出勤")</f>
        <v/>
      </c>
      <c r="D13" s="6" t="n"/>
      <c r="E13" s="6" t="n"/>
      <c r="F13" s="5">
        <f>IF(A13="","",60)</f>
        <v/>
      </c>
      <c r="G13" s="7">
        <f>IF(OR(A13="",D13="",E13=""),"",IF(OR(OR(D13&lt;0,D13&gt;=1,E13&lt;0,((E13+IF(E13&lt;D13,1,0))-D13)&lt;0,((E13+IF(E13&lt;D13,1,0))-D13)&gt;=1),F13&lt;0,F13&gt;((E13+IF(E13&lt;D13,1,0))-D13)*1440),NA(),ROUND(((E13+IF(E13&lt;D13,1,0))-D13)*24-F13/60,2)))</f>
        <v/>
      </c>
      <c r="H13" s="7">
        <f>IF(G13="","",MAX(0,G13-$H$3))</f>
        <v/>
      </c>
      <c r="I13" s="7">
        <f>IF(OR(A13="",D13="",E13=""),"",IF(OR(OR(D13&lt;0,D13&gt;=1,E13&lt;0,((E13+IF(E13&lt;D13,1,0))-D13)&lt;0,((E13+IF(E13&lt;D13,1,0))-D13)&gt;=1),K13&lt;0,K13&gt;F13,K13&gt;(MAX(0,MIN((E13+IF(E13&lt;D13,1,0)),TIME(5,0,0))-MAX(D13,0))+MAX(0,MIN((E13+IF(E13&lt;D13,1,0)),1+TIME(5,0,0))-MAX(D13,TIME(22,0,0)))+MAX(0,MIN((E13+IF(E13&lt;D13,1,0)),2+TIME(5,0,0))-MAX(D13,1+TIME(22,0,0))))*1440+0.000001),NA(),ROUND(((MAX(0,MIN((E13+IF(E13&lt;D13,1,0)),TIME(5,0,0))-MAX(D13,0))+MAX(0,MIN((E13+IF(E13&lt;D13,1,0)),1+TIME(5,0,0))-MAX(D13,TIME(22,0,0)))+MAX(0,MIN((E13+IF(E13&lt;D13,1,0)),2+TIME(5,0,0))-MAX(D13,1+TIME(22,0,0))))*1440-K13)/60,2)))</f>
        <v/>
      </c>
      <c r="J13" s="5" t="n"/>
      <c r="K13" s="5">
        <f>IF(A13="","",0)</f>
        <v/>
      </c>
    </row>
    <row r="14">
      <c r="A14" s="5">
        <f>IF(9&lt;=DAY(EOMONTH(DATEVALUE($H$2&amp;"/1"),0)),9,"")</f>
        <v/>
      </c>
      <c r="B14" s="5">
        <f>IF(A14="","",TEXT(DATE(YEAR(DATEVALUE($H$2&amp;"/1")),MONTH(DATEVALUE($H$2&amp;"/1")),A14),"aaa"))</f>
        <v/>
      </c>
      <c r="C14" s="5">
        <f>IF(A14="","","出勤")</f>
        <v/>
      </c>
      <c r="D14" s="6" t="n"/>
      <c r="E14" s="6" t="n"/>
      <c r="F14" s="5">
        <f>IF(A14="","",60)</f>
        <v/>
      </c>
      <c r="G14" s="7">
        <f>IF(OR(A14="",D14="",E14=""),"",IF(OR(OR(D14&lt;0,D14&gt;=1,E14&lt;0,((E14+IF(E14&lt;D14,1,0))-D14)&lt;0,((E14+IF(E14&lt;D14,1,0))-D14)&gt;=1),F14&lt;0,F14&gt;((E14+IF(E14&lt;D14,1,0))-D14)*1440),NA(),ROUND(((E14+IF(E14&lt;D14,1,0))-D14)*24-F14/60,2)))</f>
        <v/>
      </c>
      <c r="H14" s="7">
        <f>IF(G14="","",MAX(0,G14-$H$3))</f>
        <v/>
      </c>
      <c r="I14" s="7">
        <f>IF(OR(A14="",D14="",E14=""),"",IF(OR(OR(D14&lt;0,D14&gt;=1,E14&lt;0,((E14+IF(E14&lt;D14,1,0))-D14)&lt;0,((E14+IF(E14&lt;D14,1,0))-D14)&gt;=1),K14&lt;0,K14&gt;F14,K14&gt;(MAX(0,MIN((E14+IF(E14&lt;D14,1,0)),TIME(5,0,0))-MAX(D14,0))+MAX(0,MIN((E14+IF(E14&lt;D14,1,0)),1+TIME(5,0,0))-MAX(D14,TIME(22,0,0)))+MAX(0,MIN((E14+IF(E14&lt;D14,1,0)),2+TIME(5,0,0))-MAX(D14,1+TIME(22,0,0))))*1440+0.000001),NA(),ROUND(((MAX(0,MIN((E14+IF(E14&lt;D14,1,0)),TIME(5,0,0))-MAX(D14,0))+MAX(0,MIN((E14+IF(E14&lt;D14,1,0)),1+TIME(5,0,0))-MAX(D14,TIME(22,0,0)))+MAX(0,MIN((E14+IF(E14&lt;D14,1,0)),2+TIME(5,0,0))-MAX(D14,1+TIME(22,0,0))))*1440-K14)/60,2)))</f>
        <v/>
      </c>
      <c r="J14" s="5" t="n"/>
      <c r="K14" s="5">
        <f>IF(A14="","",0)</f>
        <v/>
      </c>
    </row>
    <row r="15">
      <c r="A15" s="5">
        <f>IF(10&lt;=DAY(EOMONTH(DATEVALUE($H$2&amp;"/1"),0)),10,"")</f>
        <v/>
      </c>
      <c r="B15" s="5">
        <f>IF(A15="","",TEXT(DATE(YEAR(DATEVALUE($H$2&amp;"/1")),MONTH(DATEVALUE($H$2&amp;"/1")),A15),"aaa"))</f>
        <v/>
      </c>
      <c r="C15" s="5">
        <f>IF(A15="","","出勤")</f>
        <v/>
      </c>
      <c r="D15" s="6" t="n"/>
      <c r="E15" s="6" t="n"/>
      <c r="F15" s="5">
        <f>IF(A15="","",60)</f>
        <v/>
      </c>
      <c r="G15" s="7">
        <f>IF(OR(A15="",D15="",E15=""),"",IF(OR(OR(D15&lt;0,D15&gt;=1,E15&lt;0,((E15+IF(E15&lt;D15,1,0))-D15)&lt;0,((E15+IF(E15&lt;D15,1,0))-D15)&gt;=1),F15&lt;0,F15&gt;((E15+IF(E15&lt;D15,1,0))-D15)*1440),NA(),ROUND(((E15+IF(E15&lt;D15,1,0))-D15)*24-F15/60,2)))</f>
        <v/>
      </c>
      <c r="H15" s="7">
        <f>IF(G15="","",MAX(0,G15-$H$3))</f>
        <v/>
      </c>
      <c r="I15" s="7">
        <f>IF(OR(A15="",D15="",E15=""),"",IF(OR(OR(D15&lt;0,D15&gt;=1,E15&lt;0,((E15+IF(E15&lt;D15,1,0))-D15)&lt;0,((E15+IF(E15&lt;D15,1,0))-D15)&gt;=1),K15&lt;0,K15&gt;F15,K15&gt;(MAX(0,MIN((E15+IF(E15&lt;D15,1,0)),TIME(5,0,0))-MAX(D15,0))+MAX(0,MIN((E15+IF(E15&lt;D15,1,0)),1+TIME(5,0,0))-MAX(D15,TIME(22,0,0)))+MAX(0,MIN((E15+IF(E15&lt;D15,1,0)),2+TIME(5,0,0))-MAX(D15,1+TIME(22,0,0))))*1440+0.000001),NA(),ROUND(((MAX(0,MIN((E15+IF(E15&lt;D15,1,0)),TIME(5,0,0))-MAX(D15,0))+MAX(0,MIN((E15+IF(E15&lt;D15,1,0)),1+TIME(5,0,0))-MAX(D15,TIME(22,0,0)))+MAX(0,MIN((E15+IF(E15&lt;D15,1,0)),2+TIME(5,0,0))-MAX(D15,1+TIME(22,0,0))))*1440-K15)/60,2)))</f>
        <v/>
      </c>
      <c r="J15" s="5" t="n"/>
      <c r="K15" s="5">
        <f>IF(A15="","",0)</f>
        <v/>
      </c>
    </row>
    <row r="16">
      <c r="A16" s="5">
        <f>IF(11&lt;=DAY(EOMONTH(DATEVALUE($H$2&amp;"/1"),0)),11,"")</f>
        <v/>
      </c>
      <c r="B16" s="5">
        <f>IF(A16="","",TEXT(DATE(YEAR(DATEVALUE($H$2&amp;"/1")),MONTH(DATEVALUE($H$2&amp;"/1")),A16),"aaa"))</f>
        <v/>
      </c>
      <c r="C16" s="5">
        <f>IF(A16="","","出勤")</f>
        <v/>
      </c>
      <c r="D16" s="6" t="n"/>
      <c r="E16" s="6" t="n"/>
      <c r="F16" s="5">
        <f>IF(A16="","",60)</f>
        <v/>
      </c>
      <c r="G16" s="7">
        <f>IF(OR(A16="",D16="",E16=""),"",IF(OR(OR(D16&lt;0,D16&gt;=1,E16&lt;0,((E16+IF(E16&lt;D16,1,0))-D16)&lt;0,((E16+IF(E16&lt;D16,1,0))-D16)&gt;=1),F16&lt;0,F16&gt;((E16+IF(E16&lt;D16,1,0))-D16)*1440),NA(),ROUND(((E16+IF(E16&lt;D16,1,0))-D16)*24-F16/60,2)))</f>
        <v/>
      </c>
      <c r="H16" s="7">
        <f>IF(G16="","",MAX(0,G16-$H$3))</f>
        <v/>
      </c>
      <c r="I16" s="7">
        <f>IF(OR(A16="",D16="",E16=""),"",IF(OR(OR(D16&lt;0,D16&gt;=1,E16&lt;0,((E16+IF(E16&lt;D16,1,0))-D16)&lt;0,((E16+IF(E16&lt;D16,1,0))-D16)&gt;=1),K16&lt;0,K16&gt;F16,K16&gt;(MAX(0,MIN((E16+IF(E16&lt;D16,1,0)),TIME(5,0,0))-MAX(D16,0))+MAX(0,MIN((E16+IF(E16&lt;D16,1,0)),1+TIME(5,0,0))-MAX(D16,TIME(22,0,0)))+MAX(0,MIN((E16+IF(E16&lt;D16,1,0)),2+TIME(5,0,0))-MAX(D16,1+TIME(22,0,0))))*1440+0.000001),NA(),ROUND(((MAX(0,MIN((E16+IF(E16&lt;D16,1,0)),TIME(5,0,0))-MAX(D16,0))+MAX(0,MIN((E16+IF(E16&lt;D16,1,0)),1+TIME(5,0,0))-MAX(D16,TIME(22,0,0)))+MAX(0,MIN((E16+IF(E16&lt;D16,1,0)),2+TIME(5,0,0))-MAX(D16,1+TIME(22,0,0))))*1440-K16)/60,2)))</f>
        <v/>
      </c>
      <c r="J16" s="5" t="n"/>
      <c r="K16" s="5">
        <f>IF(A16="","",0)</f>
        <v/>
      </c>
    </row>
    <row r="17">
      <c r="A17" s="5">
        <f>IF(12&lt;=DAY(EOMONTH(DATEVALUE($H$2&amp;"/1"),0)),12,"")</f>
        <v/>
      </c>
      <c r="B17" s="5">
        <f>IF(A17="","",TEXT(DATE(YEAR(DATEVALUE($H$2&amp;"/1")),MONTH(DATEVALUE($H$2&amp;"/1")),A17),"aaa"))</f>
        <v/>
      </c>
      <c r="C17" s="5">
        <f>IF(A17="","","出勤")</f>
        <v/>
      </c>
      <c r="D17" s="6" t="n"/>
      <c r="E17" s="6" t="n"/>
      <c r="F17" s="5">
        <f>IF(A17="","",60)</f>
        <v/>
      </c>
      <c r="G17" s="7">
        <f>IF(OR(A17="",D17="",E17=""),"",IF(OR(OR(D17&lt;0,D17&gt;=1,E17&lt;0,((E17+IF(E17&lt;D17,1,0))-D17)&lt;0,((E17+IF(E17&lt;D17,1,0))-D17)&gt;=1),F17&lt;0,F17&gt;((E17+IF(E17&lt;D17,1,0))-D17)*1440),NA(),ROUND(((E17+IF(E17&lt;D17,1,0))-D17)*24-F17/60,2)))</f>
        <v/>
      </c>
      <c r="H17" s="7">
        <f>IF(G17="","",MAX(0,G17-$H$3))</f>
        <v/>
      </c>
      <c r="I17" s="7">
        <f>IF(OR(A17="",D17="",E17=""),"",IF(OR(OR(D17&lt;0,D17&gt;=1,E17&lt;0,((E17+IF(E17&lt;D17,1,0))-D17)&lt;0,((E17+IF(E17&lt;D17,1,0))-D17)&gt;=1),K17&lt;0,K17&gt;F17,K17&gt;(MAX(0,MIN((E17+IF(E17&lt;D17,1,0)),TIME(5,0,0))-MAX(D17,0))+MAX(0,MIN((E17+IF(E17&lt;D17,1,0)),1+TIME(5,0,0))-MAX(D17,TIME(22,0,0)))+MAX(0,MIN((E17+IF(E17&lt;D17,1,0)),2+TIME(5,0,0))-MAX(D17,1+TIME(22,0,0))))*1440+0.000001),NA(),ROUND(((MAX(0,MIN((E17+IF(E17&lt;D17,1,0)),TIME(5,0,0))-MAX(D17,0))+MAX(0,MIN((E17+IF(E17&lt;D17,1,0)),1+TIME(5,0,0))-MAX(D17,TIME(22,0,0)))+MAX(0,MIN((E17+IF(E17&lt;D17,1,0)),2+TIME(5,0,0))-MAX(D17,1+TIME(22,0,0))))*1440-K17)/60,2)))</f>
        <v/>
      </c>
      <c r="J17" s="5" t="n"/>
      <c r="K17" s="5">
        <f>IF(A17="","",0)</f>
        <v/>
      </c>
    </row>
    <row r="18">
      <c r="A18" s="5">
        <f>IF(13&lt;=DAY(EOMONTH(DATEVALUE($H$2&amp;"/1"),0)),13,"")</f>
        <v/>
      </c>
      <c r="B18" s="5">
        <f>IF(A18="","",TEXT(DATE(YEAR(DATEVALUE($H$2&amp;"/1")),MONTH(DATEVALUE($H$2&amp;"/1")),A18),"aaa"))</f>
        <v/>
      </c>
      <c r="C18" s="5">
        <f>IF(A18="","","出勤")</f>
        <v/>
      </c>
      <c r="D18" s="6" t="n"/>
      <c r="E18" s="6" t="n"/>
      <c r="F18" s="5">
        <f>IF(A18="","",60)</f>
        <v/>
      </c>
      <c r="G18" s="7">
        <f>IF(OR(A18="",D18="",E18=""),"",IF(OR(OR(D18&lt;0,D18&gt;=1,E18&lt;0,((E18+IF(E18&lt;D18,1,0))-D18)&lt;0,((E18+IF(E18&lt;D18,1,0))-D18)&gt;=1),F18&lt;0,F18&gt;((E18+IF(E18&lt;D18,1,0))-D18)*1440),NA(),ROUND(((E18+IF(E18&lt;D18,1,0))-D18)*24-F18/60,2)))</f>
        <v/>
      </c>
      <c r="H18" s="7">
        <f>IF(G18="","",MAX(0,G18-$H$3))</f>
        <v/>
      </c>
      <c r="I18" s="7">
        <f>IF(OR(A18="",D18="",E18=""),"",IF(OR(OR(D18&lt;0,D18&gt;=1,E18&lt;0,((E18+IF(E18&lt;D18,1,0))-D18)&lt;0,((E18+IF(E18&lt;D18,1,0))-D18)&gt;=1),K18&lt;0,K18&gt;F18,K18&gt;(MAX(0,MIN((E18+IF(E18&lt;D18,1,0)),TIME(5,0,0))-MAX(D18,0))+MAX(0,MIN((E18+IF(E18&lt;D18,1,0)),1+TIME(5,0,0))-MAX(D18,TIME(22,0,0)))+MAX(0,MIN((E18+IF(E18&lt;D18,1,0)),2+TIME(5,0,0))-MAX(D18,1+TIME(22,0,0))))*1440+0.000001),NA(),ROUND(((MAX(0,MIN((E18+IF(E18&lt;D18,1,0)),TIME(5,0,0))-MAX(D18,0))+MAX(0,MIN((E18+IF(E18&lt;D18,1,0)),1+TIME(5,0,0))-MAX(D18,TIME(22,0,0)))+MAX(0,MIN((E18+IF(E18&lt;D18,1,0)),2+TIME(5,0,0))-MAX(D18,1+TIME(22,0,0))))*1440-K18)/60,2)))</f>
        <v/>
      </c>
      <c r="J18" s="5" t="n"/>
      <c r="K18" s="5">
        <f>IF(A18="","",0)</f>
        <v/>
      </c>
    </row>
    <row r="19">
      <c r="A19" s="5">
        <f>IF(14&lt;=DAY(EOMONTH(DATEVALUE($H$2&amp;"/1"),0)),14,"")</f>
        <v/>
      </c>
      <c r="B19" s="5">
        <f>IF(A19="","",TEXT(DATE(YEAR(DATEVALUE($H$2&amp;"/1")),MONTH(DATEVALUE($H$2&amp;"/1")),A19),"aaa"))</f>
        <v/>
      </c>
      <c r="C19" s="5">
        <f>IF(A19="","","出勤")</f>
        <v/>
      </c>
      <c r="D19" s="6" t="n"/>
      <c r="E19" s="6" t="n"/>
      <c r="F19" s="5">
        <f>IF(A19="","",60)</f>
        <v/>
      </c>
      <c r="G19" s="7">
        <f>IF(OR(A19="",D19="",E19=""),"",IF(OR(OR(D19&lt;0,D19&gt;=1,E19&lt;0,((E19+IF(E19&lt;D19,1,0))-D19)&lt;0,((E19+IF(E19&lt;D19,1,0))-D19)&gt;=1),F19&lt;0,F19&gt;((E19+IF(E19&lt;D19,1,0))-D19)*1440),NA(),ROUND(((E19+IF(E19&lt;D19,1,0))-D19)*24-F19/60,2)))</f>
        <v/>
      </c>
      <c r="H19" s="7">
        <f>IF(G19="","",MAX(0,G19-$H$3))</f>
        <v/>
      </c>
      <c r="I19" s="7">
        <f>IF(OR(A19="",D19="",E19=""),"",IF(OR(OR(D19&lt;0,D19&gt;=1,E19&lt;0,((E19+IF(E19&lt;D19,1,0))-D19)&lt;0,((E19+IF(E19&lt;D19,1,0))-D19)&gt;=1),K19&lt;0,K19&gt;F19,K19&gt;(MAX(0,MIN((E19+IF(E19&lt;D19,1,0)),TIME(5,0,0))-MAX(D19,0))+MAX(0,MIN((E19+IF(E19&lt;D19,1,0)),1+TIME(5,0,0))-MAX(D19,TIME(22,0,0)))+MAX(0,MIN((E19+IF(E19&lt;D19,1,0)),2+TIME(5,0,0))-MAX(D19,1+TIME(22,0,0))))*1440+0.000001),NA(),ROUND(((MAX(0,MIN((E19+IF(E19&lt;D19,1,0)),TIME(5,0,0))-MAX(D19,0))+MAX(0,MIN((E19+IF(E19&lt;D19,1,0)),1+TIME(5,0,0))-MAX(D19,TIME(22,0,0)))+MAX(0,MIN((E19+IF(E19&lt;D19,1,0)),2+TIME(5,0,0))-MAX(D19,1+TIME(22,0,0))))*1440-K19)/60,2)))</f>
        <v/>
      </c>
      <c r="J19" s="5" t="n"/>
      <c r="K19" s="5">
        <f>IF(A19="","",0)</f>
        <v/>
      </c>
    </row>
    <row r="20">
      <c r="A20" s="5">
        <f>IF(15&lt;=DAY(EOMONTH(DATEVALUE($H$2&amp;"/1"),0)),15,"")</f>
        <v/>
      </c>
      <c r="B20" s="5">
        <f>IF(A20="","",TEXT(DATE(YEAR(DATEVALUE($H$2&amp;"/1")),MONTH(DATEVALUE($H$2&amp;"/1")),A20),"aaa"))</f>
        <v/>
      </c>
      <c r="C20" s="5">
        <f>IF(A20="","","出勤")</f>
        <v/>
      </c>
      <c r="D20" s="6" t="n"/>
      <c r="E20" s="6" t="n"/>
      <c r="F20" s="5">
        <f>IF(A20="","",60)</f>
        <v/>
      </c>
      <c r="G20" s="7">
        <f>IF(OR(A20="",D20="",E20=""),"",IF(OR(OR(D20&lt;0,D20&gt;=1,E20&lt;0,((E20+IF(E20&lt;D20,1,0))-D20)&lt;0,((E20+IF(E20&lt;D20,1,0))-D20)&gt;=1),F20&lt;0,F20&gt;((E20+IF(E20&lt;D20,1,0))-D20)*1440),NA(),ROUND(((E20+IF(E20&lt;D20,1,0))-D20)*24-F20/60,2)))</f>
        <v/>
      </c>
      <c r="H20" s="7">
        <f>IF(G20="","",MAX(0,G20-$H$3))</f>
        <v/>
      </c>
      <c r="I20" s="7">
        <f>IF(OR(A20="",D20="",E20=""),"",IF(OR(OR(D20&lt;0,D20&gt;=1,E20&lt;0,((E20+IF(E20&lt;D20,1,0))-D20)&lt;0,((E20+IF(E20&lt;D20,1,0))-D20)&gt;=1),K20&lt;0,K20&gt;F20,K20&gt;(MAX(0,MIN((E20+IF(E20&lt;D20,1,0)),TIME(5,0,0))-MAX(D20,0))+MAX(0,MIN((E20+IF(E20&lt;D20,1,0)),1+TIME(5,0,0))-MAX(D20,TIME(22,0,0)))+MAX(0,MIN((E20+IF(E20&lt;D20,1,0)),2+TIME(5,0,0))-MAX(D20,1+TIME(22,0,0))))*1440+0.000001),NA(),ROUND(((MAX(0,MIN((E20+IF(E20&lt;D20,1,0)),TIME(5,0,0))-MAX(D20,0))+MAX(0,MIN((E20+IF(E20&lt;D20,1,0)),1+TIME(5,0,0))-MAX(D20,TIME(22,0,0)))+MAX(0,MIN((E20+IF(E20&lt;D20,1,0)),2+TIME(5,0,0))-MAX(D20,1+TIME(22,0,0))))*1440-K20)/60,2)))</f>
        <v/>
      </c>
      <c r="J20" s="5" t="n"/>
      <c r="K20" s="5">
        <f>IF(A20="","",0)</f>
        <v/>
      </c>
    </row>
    <row r="21">
      <c r="A21" s="5">
        <f>IF(16&lt;=DAY(EOMONTH(DATEVALUE($H$2&amp;"/1"),0)),16,"")</f>
        <v/>
      </c>
      <c r="B21" s="5">
        <f>IF(A21="","",TEXT(DATE(YEAR(DATEVALUE($H$2&amp;"/1")),MONTH(DATEVALUE($H$2&amp;"/1")),A21),"aaa"))</f>
        <v/>
      </c>
      <c r="C21" s="5">
        <f>IF(A21="","","出勤")</f>
        <v/>
      </c>
      <c r="D21" s="6" t="n"/>
      <c r="E21" s="6" t="n"/>
      <c r="F21" s="5">
        <f>IF(A21="","",60)</f>
        <v/>
      </c>
      <c r="G21" s="7">
        <f>IF(OR(A21="",D21="",E21=""),"",IF(OR(OR(D21&lt;0,D21&gt;=1,E21&lt;0,((E21+IF(E21&lt;D21,1,0))-D21)&lt;0,((E21+IF(E21&lt;D21,1,0))-D21)&gt;=1),F21&lt;0,F21&gt;((E21+IF(E21&lt;D21,1,0))-D21)*1440),NA(),ROUND(((E21+IF(E21&lt;D21,1,0))-D21)*24-F21/60,2)))</f>
        <v/>
      </c>
      <c r="H21" s="7">
        <f>IF(G21="","",MAX(0,G21-$H$3))</f>
        <v/>
      </c>
      <c r="I21" s="7">
        <f>IF(OR(A21="",D21="",E21=""),"",IF(OR(OR(D21&lt;0,D21&gt;=1,E21&lt;0,((E21+IF(E21&lt;D21,1,0))-D21)&lt;0,((E21+IF(E21&lt;D21,1,0))-D21)&gt;=1),K21&lt;0,K21&gt;F21,K21&gt;(MAX(0,MIN((E21+IF(E21&lt;D21,1,0)),TIME(5,0,0))-MAX(D21,0))+MAX(0,MIN((E21+IF(E21&lt;D21,1,0)),1+TIME(5,0,0))-MAX(D21,TIME(22,0,0)))+MAX(0,MIN((E21+IF(E21&lt;D21,1,0)),2+TIME(5,0,0))-MAX(D21,1+TIME(22,0,0))))*1440+0.000001),NA(),ROUND(((MAX(0,MIN((E21+IF(E21&lt;D21,1,0)),TIME(5,0,0))-MAX(D21,0))+MAX(0,MIN((E21+IF(E21&lt;D21,1,0)),1+TIME(5,0,0))-MAX(D21,TIME(22,0,0)))+MAX(0,MIN((E21+IF(E21&lt;D21,1,0)),2+TIME(5,0,0))-MAX(D21,1+TIME(22,0,0))))*1440-K21)/60,2)))</f>
        <v/>
      </c>
      <c r="J21" s="5" t="n"/>
      <c r="K21" s="5">
        <f>IF(A21="","",0)</f>
        <v/>
      </c>
    </row>
    <row r="22">
      <c r="A22" s="5">
        <f>IF(17&lt;=DAY(EOMONTH(DATEVALUE($H$2&amp;"/1"),0)),17,"")</f>
        <v/>
      </c>
      <c r="B22" s="5">
        <f>IF(A22="","",TEXT(DATE(YEAR(DATEVALUE($H$2&amp;"/1")),MONTH(DATEVALUE($H$2&amp;"/1")),A22),"aaa"))</f>
        <v/>
      </c>
      <c r="C22" s="5">
        <f>IF(A22="","","出勤")</f>
        <v/>
      </c>
      <c r="D22" s="6" t="n"/>
      <c r="E22" s="6" t="n"/>
      <c r="F22" s="5">
        <f>IF(A22="","",60)</f>
        <v/>
      </c>
      <c r="G22" s="7">
        <f>IF(OR(A22="",D22="",E22=""),"",IF(OR(OR(D22&lt;0,D22&gt;=1,E22&lt;0,((E22+IF(E22&lt;D22,1,0))-D22)&lt;0,((E22+IF(E22&lt;D22,1,0))-D22)&gt;=1),F22&lt;0,F22&gt;((E22+IF(E22&lt;D22,1,0))-D22)*1440),NA(),ROUND(((E22+IF(E22&lt;D22,1,0))-D22)*24-F22/60,2)))</f>
        <v/>
      </c>
      <c r="H22" s="7">
        <f>IF(G22="","",MAX(0,G22-$H$3))</f>
        <v/>
      </c>
      <c r="I22" s="7">
        <f>IF(OR(A22="",D22="",E22=""),"",IF(OR(OR(D22&lt;0,D22&gt;=1,E22&lt;0,((E22+IF(E22&lt;D22,1,0))-D22)&lt;0,((E22+IF(E22&lt;D22,1,0))-D22)&gt;=1),K22&lt;0,K22&gt;F22,K22&gt;(MAX(0,MIN((E22+IF(E22&lt;D22,1,0)),TIME(5,0,0))-MAX(D22,0))+MAX(0,MIN((E22+IF(E22&lt;D22,1,0)),1+TIME(5,0,0))-MAX(D22,TIME(22,0,0)))+MAX(0,MIN((E22+IF(E22&lt;D22,1,0)),2+TIME(5,0,0))-MAX(D22,1+TIME(22,0,0))))*1440+0.000001),NA(),ROUND(((MAX(0,MIN((E22+IF(E22&lt;D22,1,0)),TIME(5,0,0))-MAX(D22,0))+MAX(0,MIN((E22+IF(E22&lt;D22,1,0)),1+TIME(5,0,0))-MAX(D22,TIME(22,0,0)))+MAX(0,MIN((E22+IF(E22&lt;D22,1,0)),2+TIME(5,0,0))-MAX(D22,1+TIME(22,0,0))))*1440-K22)/60,2)))</f>
        <v/>
      </c>
      <c r="J22" s="5" t="n"/>
      <c r="K22" s="5">
        <f>IF(A22="","",0)</f>
        <v/>
      </c>
    </row>
    <row r="23">
      <c r="A23" s="5">
        <f>IF(18&lt;=DAY(EOMONTH(DATEVALUE($H$2&amp;"/1"),0)),18,"")</f>
        <v/>
      </c>
      <c r="B23" s="5">
        <f>IF(A23="","",TEXT(DATE(YEAR(DATEVALUE($H$2&amp;"/1")),MONTH(DATEVALUE($H$2&amp;"/1")),A23),"aaa"))</f>
        <v/>
      </c>
      <c r="C23" s="5">
        <f>IF(A23="","","出勤")</f>
        <v/>
      </c>
      <c r="D23" s="6" t="n"/>
      <c r="E23" s="6" t="n"/>
      <c r="F23" s="5">
        <f>IF(A23="","",60)</f>
        <v/>
      </c>
      <c r="G23" s="7">
        <f>IF(OR(A23="",D23="",E23=""),"",IF(OR(OR(D23&lt;0,D23&gt;=1,E23&lt;0,((E23+IF(E23&lt;D23,1,0))-D23)&lt;0,((E23+IF(E23&lt;D23,1,0))-D23)&gt;=1),F23&lt;0,F23&gt;((E23+IF(E23&lt;D23,1,0))-D23)*1440),NA(),ROUND(((E23+IF(E23&lt;D23,1,0))-D23)*24-F23/60,2)))</f>
        <v/>
      </c>
      <c r="H23" s="7">
        <f>IF(G23="","",MAX(0,G23-$H$3))</f>
        <v/>
      </c>
      <c r="I23" s="7">
        <f>IF(OR(A23="",D23="",E23=""),"",IF(OR(OR(D23&lt;0,D23&gt;=1,E23&lt;0,((E23+IF(E23&lt;D23,1,0))-D23)&lt;0,((E23+IF(E23&lt;D23,1,0))-D23)&gt;=1),K23&lt;0,K23&gt;F23,K23&gt;(MAX(0,MIN((E23+IF(E23&lt;D23,1,0)),TIME(5,0,0))-MAX(D23,0))+MAX(0,MIN((E23+IF(E23&lt;D23,1,0)),1+TIME(5,0,0))-MAX(D23,TIME(22,0,0)))+MAX(0,MIN((E23+IF(E23&lt;D23,1,0)),2+TIME(5,0,0))-MAX(D23,1+TIME(22,0,0))))*1440+0.000001),NA(),ROUND(((MAX(0,MIN((E23+IF(E23&lt;D23,1,0)),TIME(5,0,0))-MAX(D23,0))+MAX(0,MIN((E23+IF(E23&lt;D23,1,0)),1+TIME(5,0,0))-MAX(D23,TIME(22,0,0)))+MAX(0,MIN((E23+IF(E23&lt;D23,1,0)),2+TIME(5,0,0))-MAX(D23,1+TIME(22,0,0))))*1440-K23)/60,2)))</f>
        <v/>
      </c>
      <c r="J23" s="5" t="n"/>
      <c r="K23" s="5">
        <f>IF(A23="","",0)</f>
        <v/>
      </c>
    </row>
    <row r="24">
      <c r="A24" s="5">
        <f>IF(19&lt;=DAY(EOMONTH(DATEVALUE($H$2&amp;"/1"),0)),19,"")</f>
        <v/>
      </c>
      <c r="B24" s="5">
        <f>IF(A24="","",TEXT(DATE(YEAR(DATEVALUE($H$2&amp;"/1")),MONTH(DATEVALUE($H$2&amp;"/1")),A24),"aaa"))</f>
        <v/>
      </c>
      <c r="C24" s="5">
        <f>IF(A24="","","出勤")</f>
        <v/>
      </c>
      <c r="D24" s="6" t="n"/>
      <c r="E24" s="6" t="n"/>
      <c r="F24" s="5">
        <f>IF(A24="","",60)</f>
        <v/>
      </c>
      <c r="G24" s="7">
        <f>IF(OR(A24="",D24="",E24=""),"",IF(OR(OR(D24&lt;0,D24&gt;=1,E24&lt;0,((E24+IF(E24&lt;D24,1,0))-D24)&lt;0,((E24+IF(E24&lt;D24,1,0))-D24)&gt;=1),F24&lt;0,F24&gt;((E24+IF(E24&lt;D24,1,0))-D24)*1440),NA(),ROUND(((E24+IF(E24&lt;D24,1,0))-D24)*24-F24/60,2)))</f>
        <v/>
      </c>
      <c r="H24" s="7">
        <f>IF(G24="","",MAX(0,G24-$H$3))</f>
        <v/>
      </c>
      <c r="I24" s="7">
        <f>IF(OR(A24="",D24="",E24=""),"",IF(OR(OR(D24&lt;0,D24&gt;=1,E24&lt;0,((E24+IF(E24&lt;D24,1,0))-D24)&lt;0,((E24+IF(E24&lt;D24,1,0))-D24)&gt;=1),K24&lt;0,K24&gt;F24,K24&gt;(MAX(0,MIN((E24+IF(E24&lt;D24,1,0)),TIME(5,0,0))-MAX(D24,0))+MAX(0,MIN((E24+IF(E24&lt;D24,1,0)),1+TIME(5,0,0))-MAX(D24,TIME(22,0,0)))+MAX(0,MIN((E24+IF(E24&lt;D24,1,0)),2+TIME(5,0,0))-MAX(D24,1+TIME(22,0,0))))*1440+0.000001),NA(),ROUND(((MAX(0,MIN((E24+IF(E24&lt;D24,1,0)),TIME(5,0,0))-MAX(D24,0))+MAX(0,MIN((E24+IF(E24&lt;D24,1,0)),1+TIME(5,0,0))-MAX(D24,TIME(22,0,0)))+MAX(0,MIN((E24+IF(E24&lt;D24,1,0)),2+TIME(5,0,0))-MAX(D24,1+TIME(22,0,0))))*1440-K24)/60,2)))</f>
        <v/>
      </c>
      <c r="J24" s="5" t="n"/>
      <c r="K24" s="5">
        <f>IF(A24="","",0)</f>
        <v/>
      </c>
    </row>
    <row r="25">
      <c r="A25" s="5">
        <f>IF(20&lt;=DAY(EOMONTH(DATEVALUE($H$2&amp;"/1"),0)),20,"")</f>
        <v/>
      </c>
      <c r="B25" s="5">
        <f>IF(A25="","",TEXT(DATE(YEAR(DATEVALUE($H$2&amp;"/1")),MONTH(DATEVALUE($H$2&amp;"/1")),A25),"aaa"))</f>
        <v/>
      </c>
      <c r="C25" s="5">
        <f>IF(A25="","","出勤")</f>
        <v/>
      </c>
      <c r="D25" s="6" t="n"/>
      <c r="E25" s="6" t="n"/>
      <c r="F25" s="5">
        <f>IF(A25="","",60)</f>
        <v/>
      </c>
      <c r="G25" s="7">
        <f>IF(OR(A25="",D25="",E25=""),"",IF(OR(OR(D25&lt;0,D25&gt;=1,E25&lt;0,((E25+IF(E25&lt;D25,1,0))-D25)&lt;0,((E25+IF(E25&lt;D25,1,0))-D25)&gt;=1),F25&lt;0,F25&gt;((E25+IF(E25&lt;D25,1,0))-D25)*1440),NA(),ROUND(((E25+IF(E25&lt;D25,1,0))-D25)*24-F25/60,2)))</f>
        <v/>
      </c>
      <c r="H25" s="7">
        <f>IF(G25="","",MAX(0,G25-$H$3))</f>
        <v/>
      </c>
      <c r="I25" s="7">
        <f>IF(OR(A25="",D25="",E25=""),"",IF(OR(OR(D25&lt;0,D25&gt;=1,E25&lt;0,((E25+IF(E25&lt;D25,1,0))-D25)&lt;0,((E25+IF(E25&lt;D25,1,0))-D25)&gt;=1),K25&lt;0,K25&gt;F25,K25&gt;(MAX(0,MIN((E25+IF(E25&lt;D25,1,0)),TIME(5,0,0))-MAX(D25,0))+MAX(0,MIN((E25+IF(E25&lt;D25,1,0)),1+TIME(5,0,0))-MAX(D25,TIME(22,0,0)))+MAX(0,MIN((E25+IF(E25&lt;D25,1,0)),2+TIME(5,0,0))-MAX(D25,1+TIME(22,0,0))))*1440+0.000001),NA(),ROUND(((MAX(0,MIN((E25+IF(E25&lt;D25,1,0)),TIME(5,0,0))-MAX(D25,0))+MAX(0,MIN((E25+IF(E25&lt;D25,1,0)),1+TIME(5,0,0))-MAX(D25,TIME(22,0,0)))+MAX(0,MIN((E25+IF(E25&lt;D25,1,0)),2+TIME(5,0,0))-MAX(D25,1+TIME(22,0,0))))*1440-K25)/60,2)))</f>
        <v/>
      </c>
      <c r="J25" s="5" t="n"/>
      <c r="K25" s="5">
        <f>IF(A25="","",0)</f>
        <v/>
      </c>
    </row>
    <row r="26">
      <c r="A26" s="5">
        <f>IF(21&lt;=DAY(EOMONTH(DATEVALUE($H$2&amp;"/1"),0)),21,"")</f>
        <v/>
      </c>
      <c r="B26" s="5">
        <f>IF(A26="","",TEXT(DATE(YEAR(DATEVALUE($H$2&amp;"/1")),MONTH(DATEVALUE($H$2&amp;"/1")),A26),"aaa"))</f>
        <v/>
      </c>
      <c r="C26" s="5">
        <f>IF(A26="","","出勤")</f>
        <v/>
      </c>
      <c r="D26" s="6" t="n"/>
      <c r="E26" s="6" t="n"/>
      <c r="F26" s="5">
        <f>IF(A26="","",60)</f>
        <v/>
      </c>
      <c r="G26" s="7">
        <f>IF(OR(A26="",D26="",E26=""),"",IF(OR(OR(D26&lt;0,D26&gt;=1,E26&lt;0,((E26+IF(E26&lt;D26,1,0))-D26)&lt;0,((E26+IF(E26&lt;D26,1,0))-D26)&gt;=1),F26&lt;0,F26&gt;((E26+IF(E26&lt;D26,1,0))-D26)*1440),NA(),ROUND(((E26+IF(E26&lt;D26,1,0))-D26)*24-F26/60,2)))</f>
        <v/>
      </c>
      <c r="H26" s="7">
        <f>IF(G26="","",MAX(0,G26-$H$3))</f>
        <v/>
      </c>
      <c r="I26" s="7">
        <f>IF(OR(A26="",D26="",E26=""),"",IF(OR(OR(D26&lt;0,D26&gt;=1,E26&lt;0,((E26+IF(E26&lt;D26,1,0))-D26)&lt;0,((E26+IF(E26&lt;D26,1,0))-D26)&gt;=1),K26&lt;0,K26&gt;F26,K26&gt;(MAX(0,MIN((E26+IF(E26&lt;D26,1,0)),TIME(5,0,0))-MAX(D26,0))+MAX(0,MIN((E26+IF(E26&lt;D26,1,0)),1+TIME(5,0,0))-MAX(D26,TIME(22,0,0)))+MAX(0,MIN((E26+IF(E26&lt;D26,1,0)),2+TIME(5,0,0))-MAX(D26,1+TIME(22,0,0))))*1440+0.000001),NA(),ROUND(((MAX(0,MIN((E26+IF(E26&lt;D26,1,0)),TIME(5,0,0))-MAX(D26,0))+MAX(0,MIN((E26+IF(E26&lt;D26,1,0)),1+TIME(5,0,0))-MAX(D26,TIME(22,0,0)))+MAX(0,MIN((E26+IF(E26&lt;D26,1,0)),2+TIME(5,0,0))-MAX(D26,1+TIME(22,0,0))))*1440-K26)/60,2)))</f>
        <v/>
      </c>
      <c r="J26" s="5" t="n"/>
      <c r="K26" s="5">
        <f>IF(A26="","",0)</f>
        <v/>
      </c>
    </row>
    <row r="27">
      <c r="A27" s="5">
        <f>IF(22&lt;=DAY(EOMONTH(DATEVALUE($H$2&amp;"/1"),0)),22,"")</f>
        <v/>
      </c>
      <c r="B27" s="5">
        <f>IF(A27="","",TEXT(DATE(YEAR(DATEVALUE($H$2&amp;"/1")),MONTH(DATEVALUE($H$2&amp;"/1")),A27),"aaa"))</f>
        <v/>
      </c>
      <c r="C27" s="5">
        <f>IF(A27="","","出勤")</f>
        <v/>
      </c>
      <c r="D27" s="6" t="n"/>
      <c r="E27" s="6" t="n"/>
      <c r="F27" s="5">
        <f>IF(A27="","",60)</f>
        <v/>
      </c>
      <c r="G27" s="7">
        <f>IF(OR(A27="",D27="",E27=""),"",IF(OR(OR(D27&lt;0,D27&gt;=1,E27&lt;0,((E27+IF(E27&lt;D27,1,0))-D27)&lt;0,((E27+IF(E27&lt;D27,1,0))-D27)&gt;=1),F27&lt;0,F27&gt;((E27+IF(E27&lt;D27,1,0))-D27)*1440),NA(),ROUND(((E27+IF(E27&lt;D27,1,0))-D27)*24-F27/60,2)))</f>
        <v/>
      </c>
      <c r="H27" s="7">
        <f>IF(G27="","",MAX(0,G27-$H$3))</f>
        <v/>
      </c>
      <c r="I27" s="7">
        <f>IF(OR(A27="",D27="",E27=""),"",IF(OR(OR(D27&lt;0,D27&gt;=1,E27&lt;0,((E27+IF(E27&lt;D27,1,0))-D27)&lt;0,((E27+IF(E27&lt;D27,1,0))-D27)&gt;=1),K27&lt;0,K27&gt;F27,K27&gt;(MAX(0,MIN((E27+IF(E27&lt;D27,1,0)),TIME(5,0,0))-MAX(D27,0))+MAX(0,MIN((E27+IF(E27&lt;D27,1,0)),1+TIME(5,0,0))-MAX(D27,TIME(22,0,0)))+MAX(0,MIN((E27+IF(E27&lt;D27,1,0)),2+TIME(5,0,0))-MAX(D27,1+TIME(22,0,0))))*1440+0.000001),NA(),ROUND(((MAX(0,MIN((E27+IF(E27&lt;D27,1,0)),TIME(5,0,0))-MAX(D27,0))+MAX(0,MIN((E27+IF(E27&lt;D27,1,0)),1+TIME(5,0,0))-MAX(D27,TIME(22,0,0)))+MAX(0,MIN((E27+IF(E27&lt;D27,1,0)),2+TIME(5,0,0))-MAX(D27,1+TIME(22,0,0))))*1440-K27)/60,2)))</f>
        <v/>
      </c>
      <c r="J27" s="5" t="n"/>
      <c r="K27" s="5">
        <f>IF(A27="","",0)</f>
        <v/>
      </c>
    </row>
    <row r="28">
      <c r="A28" s="5">
        <f>IF(23&lt;=DAY(EOMONTH(DATEVALUE($H$2&amp;"/1"),0)),23,"")</f>
        <v/>
      </c>
      <c r="B28" s="5">
        <f>IF(A28="","",TEXT(DATE(YEAR(DATEVALUE($H$2&amp;"/1")),MONTH(DATEVALUE($H$2&amp;"/1")),A28),"aaa"))</f>
        <v/>
      </c>
      <c r="C28" s="5">
        <f>IF(A28="","","出勤")</f>
        <v/>
      </c>
      <c r="D28" s="6" t="n"/>
      <c r="E28" s="6" t="n"/>
      <c r="F28" s="5">
        <f>IF(A28="","",60)</f>
        <v/>
      </c>
      <c r="G28" s="7">
        <f>IF(OR(A28="",D28="",E28=""),"",IF(OR(OR(D28&lt;0,D28&gt;=1,E28&lt;0,((E28+IF(E28&lt;D28,1,0))-D28)&lt;0,((E28+IF(E28&lt;D28,1,0))-D28)&gt;=1),F28&lt;0,F28&gt;((E28+IF(E28&lt;D28,1,0))-D28)*1440),NA(),ROUND(((E28+IF(E28&lt;D28,1,0))-D28)*24-F28/60,2)))</f>
        <v/>
      </c>
      <c r="H28" s="7">
        <f>IF(G28="","",MAX(0,G28-$H$3))</f>
        <v/>
      </c>
      <c r="I28" s="7">
        <f>IF(OR(A28="",D28="",E28=""),"",IF(OR(OR(D28&lt;0,D28&gt;=1,E28&lt;0,((E28+IF(E28&lt;D28,1,0))-D28)&lt;0,((E28+IF(E28&lt;D28,1,0))-D28)&gt;=1),K28&lt;0,K28&gt;F28,K28&gt;(MAX(0,MIN((E28+IF(E28&lt;D28,1,0)),TIME(5,0,0))-MAX(D28,0))+MAX(0,MIN((E28+IF(E28&lt;D28,1,0)),1+TIME(5,0,0))-MAX(D28,TIME(22,0,0)))+MAX(0,MIN((E28+IF(E28&lt;D28,1,0)),2+TIME(5,0,0))-MAX(D28,1+TIME(22,0,0))))*1440+0.000001),NA(),ROUND(((MAX(0,MIN((E28+IF(E28&lt;D28,1,0)),TIME(5,0,0))-MAX(D28,0))+MAX(0,MIN((E28+IF(E28&lt;D28,1,0)),1+TIME(5,0,0))-MAX(D28,TIME(22,0,0)))+MAX(0,MIN((E28+IF(E28&lt;D28,1,0)),2+TIME(5,0,0))-MAX(D28,1+TIME(22,0,0))))*1440-K28)/60,2)))</f>
        <v/>
      </c>
      <c r="J28" s="5" t="n"/>
      <c r="K28" s="5">
        <f>IF(A28="","",0)</f>
        <v/>
      </c>
    </row>
    <row r="29">
      <c r="A29" s="5">
        <f>IF(24&lt;=DAY(EOMONTH(DATEVALUE($H$2&amp;"/1"),0)),24,"")</f>
        <v/>
      </c>
      <c r="B29" s="5">
        <f>IF(A29="","",TEXT(DATE(YEAR(DATEVALUE($H$2&amp;"/1")),MONTH(DATEVALUE($H$2&amp;"/1")),A29),"aaa"))</f>
        <v/>
      </c>
      <c r="C29" s="5">
        <f>IF(A29="","","出勤")</f>
        <v/>
      </c>
      <c r="D29" s="6" t="n"/>
      <c r="E29" s="6" t="n"/>
      <c r="F29" s="5">
        <f>IF(A29="","",60)</f>
        <v/>
      </c>
      <c r="G29" s="7">
        <f>IF(OR(A29="",D29="",E29=""),"",IF(OR(OR(D29&lt;0,D29&gt;=1,E29&lt;0,((E29+IF(E29&lt;D29,1,0))-D29)&lt;0,((E29+IF(E29&lt;D29,1,0))-D29)&gt;=1),F29&lt;0,F29&gt;((E29+IF(E29&lt;D29,1,0))-D29)*1440),NA(),ROUND(((E29+IF(E29&lt;D29,1,0))-D29)*24-F29/60,2)))</f>
        <v/>
      </c>
      <c r="H29" s="7">
        <f>IF(G29="","",MAX(0,G29-$H$3))</f>
        <v/>
      </c>
      <c r="I29" s="7">
        <f>IF(OR(A29="",D29="",E29=""),"",IF(OR(OR(D29&lt;0,D29&gt;=1,E29&lt;0,((E29+IF(E29&lt;D29,1,0))-D29)&lt;0,((E29+IF(E29&lt;D29,1,0))-D29)&gt;=1),K29&lt;0,K29&gt;F29,K29&gt;(MAX(0,MIN((E29+IF(E29&lt;D29,1,0)),TIME(5,0,0))-MAX(D29,0))+MAX(0,MIN((E29+IF(E29&lt;D29,1,0)),1+TIME(5,0,0))-MAX(D29,TIME(22,0,0)))+MAX(0,MIN((E29+IF(E29&lt;D29,1,0)),2+TIME(5,0,0))-MAX(D29,1+TIME(22,0,0))))*1440+0.000001),NA(),ROUND(((MAX(0,MIN((E29+IF(E29&lt;D29,1,0)),TIME(5,0,0))-MAX(D29,0))+MAX(0,MIN((E29+IF(E29&lt;D29,1,0)),1+TIME(5,0,0))-MAX(D29,TIME(22,0,0)))+MAX(0,MIN((E29+IF(E29&lt;D29,1,0)),2+TIME(5,0,0))-MAX(D29,1+TIME(22,0,0))))*1440-K29)/60,2)))</f>
        <v/>
      </c>
      <c r="J29" s="5" t="n"/>
      <c r="K29" s="5">
        <f>IF(A29="","",0)</f>
        <v/>
      </c>
    </row>
    <row r="30">
      <c r="A30" s="5">
        <f>IF(25&lt;=DAY(EOMONTH(DATEVALUE($H$2&amp;"/1"),0)),25,"")</f>
        <v/>
      </c>
      <c r="B30" s="5">
        <f>IF(A30="","",TEXT(DATE(YEAR(DATEVALUE($H$2&amp;"/1")),MONTH(DATEVALUE($H$2&amp;"/1")),A30),"aaa"))</f>
        <v/>
      </c>
      <c r="C30" s="5">
        <f>IF(A30="","","出勤")</f>
        <v/>
      </c>
      <c r="D30" s="6" t="n"/>
      <c r="E30" s="6" t="n"/>
      <c r="F30" s="5">
        <f>IF(A30="","",60)</f>
        <v/>
      </c>
      <c r="G30" s="7">
        <f>IF(OR(A30="",D30="",E30=""),"",IF(OR(OR(D30&lt;0,D30&gt;=1,E30&lt;0,((E30+IF(E30&lt;D30,1,0))-D30)&lt;0,((E30+IF(E30&lt;D30,1,0))-D30)&gt;=1),F30&lt;0,F30&gt;((E30+IF(E30&lt;D30,1,0))-D30)*1440),NA(),ROUND(((E30+IF(E30&lt;D30,1,0))-D30)*24-F30/60,2)))</f>
        <v/>
      </c>
      <c r="H30" s="7">
        <f>IF(G30="","",MAX(0,G30-$H$3))</f>
        <v/>
      </c>
      <c r="I30" s="7">
        <f>IF(OR(A30="",D30="",E30=""),"",IF(OR(OR(D30&lt;0,D30&gt;=1,E30&lt;0,((E30+IF(E30&lt;D30,1,0))-D30)&lt;0,((E30+IF(E30&lt;D30,1,0))-D30)&gt;=1),K30&lt;0,K30&gt;F30,K30&gt;(MAX(0,MIN((E30+IF(E30&lt;D30,1,0)),TIME(5,0,0))-MAX(D30,0))+MAX(0,MIN((E30+IF(E30&lt;D30,1,0)),1+TIME(5,0,0))-MAX(D30,TIME(22,0,0)))+MAX(0,MIN((E30+IF(E30&lt;D30,1,0)),2+TIME(5,0,0))-MAX(D30,1+TIME(22,0,0))))*1440+0.000001),NA(),ROUND(((MAX(0,MIN((E30+IF(E30&lt;D30,1,0)),TIME(5,0,0))-MAX(D30,0))+MAX(0,MIN((E30+IF(E30&lt;D30,1,0)),1+TIME(5,0,0))-MAX(D30,TIME(22,0,0)))+MAX(0,MIN((E30+IF(E30&lt;D30,1,0)),2+TIME(5,0,0))-MAX(D30,1+TIME(22,0,0))))*1440-K30)/60,2)))</f>
        <v/>
      </c>
      <c r="J30" s="5" t="n"/>
      <c r="K30" s="5">
        <f>IF(A30="","",0)</f>
        <v/>
      </c>
    </row>
    <row r="31">
      <c r="A31" s="5">
        <f>IF(26&lt;=DAY(EOMONTH(DATEVALUE($H$2&amp;"/1"),0)),26,"")</f>
        <v/>
      </c>
      <c r="B31" s="5">
        <f>IF(A31="","",TEXT(DATE(YEAR(DATEVALUE($H$2&amp;"/1")),MONTH(DATEVALUE($H$2&amp;"/1")),A31),"aaa"))</f>
        <v/>
      </c>
      <c r="C31" s="5">
        <f>IF(A31="","","出勤")</f>
        <v/>
      </c>
      <c r="D31" s="6" t="n"/>
      <c r="E31" s="6" t="n"/>
      <c r="F31" s="5">
        <f>IF(A31="","",60)</f>
        <v/>
      </c>
      <c r="G31" s="7">
        <f>IF(OR(A31="",D31="",E31=""),"",IF(OR(OR(D31&lt;0,D31&gt;=1,E31&lt;0,((E31+IF(E31&lt;D31,1,0))-D31)&lt;0,((E31+IF(E31&lt;D31,1,0))-D31)&gt;=1),F31&lt;0,F31&gt;((E31+IF(E31&lt;D31,1,0))-D31)*1440),NA(),ROUND(((E31+IF(E31&lt;D31,1,0))-D31)*24-F31/60,2)))</f>
        <v/>
      </c>
      <c r="H31" s="7">
        <f>IF(G31="","",MAX(0,G31-$H$3))</f>
        <v/>
      </c>
      <c r="I31" s="7">
        <f>IF(OR(A31="",D31="",E31=""),"",IF(OR(OR(D31&lt;0,D31&gt;=1,E31&lt;0,((E31+IF(E31&lt;D31,1,0))-D31)&lt;0,((E31+IF(E31&lt;D31,1,0))-D31)&gt;=1),K31&lt;0,K31&gt;F31,K31&gt;(MAX(0,MIN((E31+IF(E31&lt;D31,1,0)),TIME(5,0,0))-MAX(D31,0))+MAX(0,MIN((E31+IF(E31&lt;D31,1,0)),1+TIME(5,0,0))-MAX(D31,TIME(22,0,0)))+MAX(0,MIN((E31+IF(E31&lt;D31,1,0)),2+TIME(5,0,0))-MAX(D31,1+TIME(22,0,0))))*1440+0.000001),NA(),ROUND(((MAX(0,MIN((E31+IF(E31&lt;D31,1,0)),TIME(5,0,0))-MAX(D31,0))+MAX(0,MIN((E31+IF(E31&lt;D31,1,0)),1+TIME(5,0,0))-MAX(D31,TIME(22,0,0)))+MAX(0,MIN((E31+IF(E31&lt;D31,1,0)),2+TIME(5,0,0))-MAX(D31,1+TIME(22,0,0))))*1440-K31)/60,2)))</f>
        <v/>
      </c>
      <c r="J31" s="5" t="n"/>
      <c r="K31" s="5">
        <f>IF(A31="","",0)</f>
        <v/>
      </c>
    </row>
    <row r="32">
      <c r="A32" s="5">
        <f>IF(27&lt;=DAY(EOMONTH(DATEVALUE($H$2&amp;"/1"),0)),27,"")</f>
        <v/>
      </c>
      <c r="B32" s="5">
        <f>IF(A32="","",TEXT(DATE(YEAR(DATEVALUE($H$2&amp;"/1")),MONTH(DATEVALUE($H$2&amp;"/1")),A32),"aaa"))</f>
        <v/>
      </c>
      <c r="C32" s="5">
        <f>IF(A32="","","出勤")</f>
        <v/>
      </c>
      <c r="D32" s="6" t="n"/>
      <c r="E32" s="6" t="n"/>
      <c r="F32" s="5">
        <f>IF(A32="","",60)</f>
        <v/>
      </c>
      <c r="G32" s="7">
        <f>IF(OR(A32="",D32="",E32=""),"",IF(OR(OR(D32&lt;0,D32&gt;=1,E32&lt;0,((E32+IF(E32&lt;D32,1,0))-D32)&lt;0,((E32+IF(E32&lt;D32,1,0))-D32)&gt;=1),F32&lt;0,F32&gt;((E32+IF(E32&lt;D32,1,0))-D32)*1440),NA(),ROUND(((E32+IF(E32&lt;D32,1,0))-D32)*24-F32/60,2)))</f>
        <v/>
      </c>
      <c r="H32" s="7">
        <f>IF(G32="","",MAX(0,G32-$H$3))</f>
        <v/>
      </c>
      <c r="I32" s="7">
        <f>IF(OR(A32="",D32="",E32=""),"",IF(OR(OR(D32&lt;0,D32&gt;=1,E32&lt;0,((E32+IF(E32&lt;D32,1,0))-D32)&lt;0,((E32+IF(E32&lt;D32,1,0))-D32)&gt;=1),K32&lt;0,K32&gt;F32,K32&gt;(MAX(0,MIN((E32+IF(E32&lt;D32,1,0)),TIME(5,0,0))-MAX(D32,0))+MAX(0,MIN((E32+IF(E32&lt;D32,1,0)),1+TIME(5,0,0))-MAX(D32,TIME(22,0,0)))+MAX(0,MIN((E32+IF(E32&lt;D32,1,0)),2+TIME(5,0,0))-MAX(D32,1+TIME(22,0,0))))*1440+0.000001),NA(),ROUND(((MAX(0,MIN((E32+IF(E32&lt;D32,1,0)),TIME(5,0,0))-MAX(D32,0))+MAX(0,MIN((E32+IF(E32&lt;D32,1,0)),1+TIME(5,0,0))-MAX(D32,TIME(22,0,0)))+MAX(0,MIN((E32+IF(E32&lt;D32,1,0)),2+TIME(5,0,0))-MAX(D32,1+TIME(22,0,0))))*1440-K32)/60,2)))</f>
        <v/>
      </c>
      <c r="J32" s="5" t="n"/>
      <c r="K32" s="5">
        <f>IF(A32="","",0)</f>
        <v/>
      </c>
    </row>
    <row r="33">
      <c r="A33" s="5">
        <f>IF(28&lt;=DAY(EOMONTH(DATEVALUE($H$2&amp;"/1"),0)),28,"")</f>
        <v/>
      </c>
      <c r="B33" s="5">
        <f>IF(A33="","",TEXT(DATE(YEAR(DATEVALUE($H$2&amp;"/1")),MONTH(DATEVALUE($H$2&amp;"/1")),A33),"aaa"))</f>
        <v/>
      </c>
      <c r="C33" s="5">
        <f>IF(A33="","","出勤")</f>
        <v/>
      </c>
      <c r="D33" s="6" t="n"/>
      <c r="E33" s="6" t="n"/>
      <c r="F33" s="5">
        <f>IF(A33="","",60)</f>
        <v/>
      </c>
      <c r="G33" s="7">
        <f>IF(OR(A33="",D33="",E33=""),"",IF(OR(OR(D33&lt;0,D33&gt;=1,E33&lt;0,((E33+IF(E33&lt;D33,1,0))-D33)&lt;0,((E33+IF(E33&lt;D33,1,0))-D33)&gt;=1),F33&lt;0,F33&gt;((E33+IF(E33&lt;D33,1,0))-D33)*1440),NA(),ROUND(((E33+IF(E33&lt;D33,1,0))-D33)*24-F33/60,2)))</f>
        <v/>
      </c>
      <c r="H33" s="7">
        <f>IF(G33="","",MAX(0,G33-$H$3))</f>
        <v/>
      </c>
      <c r="I33" s="7">
        <f>IF(OR(A33="",D33="",E33=""),"",IF(OR(OR(D33&lt;0,D33&gt;=1,E33&lt;0,((E33+IF(E33&lt;D33,1,0))-D33)&lt;0,((E33+IF(E33&lt;D33,1,0))-D33)&gt;=1),K33&lt;0,K33&gt;F33,K33&gt;(MAX(0,MIN((E33+IF(E33&lt;D33,1,0)),TIME(5,0,0))-MAX(D33,0))+MAX(0,MIN((E33+IF(E33&lt;D33,1,0)),1+TIME(5,0,0))-MAX(D33,TIME(22,0,0)))+MAX(0,MIN((E33+IF(E33&lt;D33,1,0)),2+TIME(5,0,0))-MAX(D33,1+TIME(22,0,0))))*1440+0.000001),NA(),ROUND(((MAX(0,MIN((E33+IF(E33&lt;D33,1,0)),TIME(5,0,0))-MAX(D33,0))+MAX(0,MIN((E33+IF(E33&lt;D33,1,0)),1+TIME(5,0,0))-MAX(D33,TIME(22,0,0)))+MAX(0,MIN((E33+IF(E33&lt;D33,1,0)),2+TIME(5,0,0))-MAX(D33,1+TIME(22,0,0))))*1440-K33)/60,2)))</f>
        <v/>
      </c>
      <c r="J33" s="5" t="n"/>
      <c r="K33" s="5">
        <f>IF(A33="","",0)</f>
        <v/>
      </c>
    </row>
    <row r="34">
      <c r="A34" s="5">
        <f>IF(29&lt;=DAY(EOMONTH(DATEVALUE($H$2&amp;"/1"),0)),29,"")</f>
        <v/>
      </c>
      <c r="B34" s="5">
        <f>IF(A34="","",TEXT(DATE(YEAR(DATEVALUE($H$2&amp;"/1")),MONTH(DATEVALUE($H$2&amp;"/1")),A34),"aaa"))</f>
        <v/>
      </c>
      <c r="C34" s="5">
        <f>IF(A34="","","出勤")</f>
        <v/>
      </c>
      <c r="D34" s="6" t="n"/>
      <c r="E34" s="6" t="n"/>
      <c r="F34" s="5">
        <f>IF(A34="","",60)</f>
        <v/>
      </c>
      <c r="G34" s="7">
        <f>IF(OR(A34="",D34="",E34=""),"",IF(OR(OR(D34&lt;0,D34&gt;=1,E34&lt;0,((E34+IF(E34&lt;D34,1,0))-D34)&lt;0,((E34+IF(E34&lt;D34,1,0))-D34)&gt;=1),F34&lt;0,F34&gt;((E34+IF(E34&lt;D34,1,0))-D34)*1440),NA(),ROUND(((E34+IF(E34&lt;D34,1,0))-D34)*24-F34/60,2)))</f>
        <v/>
      </c>
      <c r="H34" s="7">
        <f>IF(G34="","",MAX(0,G34-$H$3))</f>
        <v/>
      </c>
      <c r="I34" s="7">
        <f>IF(OR(A34="",D34="",E34=""),"",IF(OR(OR(D34&lt;0,D34&gt;=1,E34&lt;0,((E34+IF(E34&lt;D34,1,0))-D34)&lt;0,((E34+IF(E34&lt;D34,1,0))-D34)&gt;=1),K34&lt;0,K34&gt;F34,K34&gt;(MAX(0,MIN((E34+IF(E34&lt;D34,1,0)),TIME(5,0,0))-MAX(D34,0))+MAX(0,MIN((E34+IF(E34&lt;D34,1,0)),1+TIME(5,0,0))-MAX(D34,TIME(22,0,0)))+MAX(0,MIN((E34+IF(E34&lt;D34,1,0)),2+TIME(5,0,0))-MAX(D34,1+TIME(22,0,0))))*1440+0.000001),NA(),ROUND(((MAX(0,MIN((E34+IF(E34&lt;D34,1,0)),TIME(5,0,0))-MAX(D34,0))+MAX(0,MIN((E34+IF(E34&lt;D34,1,0)),1+TIME(5,0,0))-MAX(D34,TIME(22,0,0)))+MAX(0,MIN((E34+IF(E34&lt;D34,1,0)),2+TIME(5,0,0))-MAX(D34,1+TIME(22,0,0))))*1440-K34)/60,2)))</f>
        <v/>
      </c>
      <c r="J34" s="5" t="n"/>
      <c r="K34" s="5">
        <f>IF(A34="","",0)</f>
        <v/>
      </c>
    </row>
    <row r="35">
      <c r="A35" s="5">
        <f>IF(30&lt;=DAY(EOMONTH(DATEVALUE($H$2&amp;"/1"),0)),30,"")</f>
        <v/>
      </c>
      <c r="B35" s="5">
        <f>IF(A35="","",TEXT(DATE(YEAR(DATEVALUE($H$2&amp;"/1")),MONTH(DATEVALUE($H$2&amp;"/1")),A35),"aaa"))</f>
        <v/>
      </c>
      <c r="C35" s="5">
        <f>IF(A35="","","出勤")</f>
        <v/>
      </c>
      <c r="D35" s="6" t="n"/>
      <c r="E35" s="6" t="n"/>
      <c r="F35" s="5">
        <f>IF(A35="","",60)</f>
        <v/>
      </c>
      <c r="G35" s="7">
        <f>IF(OR(A35="",D35="",E35=""),"",IF(OR(OR(D35&lt;0,D35&gt;=1,E35&lt;0,((E35+IF(E35&lt;D35,1,0))-D35)&lt;0,((E35+IF(E35&lt;D35,1,0))-D35)&gt;=1),F35&lt;0,F35&gt;((E35+IF(E35&lt;D35,1,0))-D35)*1440),NA(),ROUND(((E35+IF(E35&lt;D35,1,0))-D35)*24-F35/60,2)))</f>
        <v/>
      </c>
      <c r="H35" s="7">
        <f>IF(G35="","",MAX(0,G35-$H$3))</f>
        <v/>
      </c>
      <c r="I35" s="7">
        <f>IF(OR(A35="",D35="",E35=""),"",IF(OR(OR(D35&lt;0,D35&gt;=1,E35&lt;0,((E35+IF(E35&lt;D35,1,0))-D35)&lt;0,((E35+IF(E35&lt;D35,1,0))-D35)&gt;=1),K35&lt;0,K35&gt;F35,K35&gt;(MAX(0,MIN((E35+IF(E35&lt;D35,1,0)),TIME(5,0,0))-MAX(D35,0))+MAX(0,MIN((E35+IF(E35&lt;D35,1,0)),1+TIME(5,0,0))-MAX(D35,TIME(22,0,0)))+MAX(0,MIN((E35+IF(E35&lt;D35,1,0)),2+TIME(5,0,0))-MAX(D35,1+TIME(22,0,0))))*1440+0.000001),NA(),ROUND(((MAX(0,MIN((E35+IF(E35&lt;D35,1,0)),TIME(5,0,0))-MAX(D35,0))+MAX(0,MIN((E35+IF(E35&lt;D35,1,0)),1+TIME(5,0,0))-MAX(D35,TIME(22,0,0)))+MAX(0,MIN((E35+IF(E35&lt;D35,1,0)),2+TIME(5,0,0))-MAX(D35,1+TIME(22,0,0))))*1440-K35)/60,2)))</f>
        <v/>
      </c>
      <c r="J35" s="5" t="n"/>
      <c r="K35" s="5">
        <f>IF(A35="","",0)</f>
        <v/>
      </c>
    </row>
    <row r="36">
      <c r="A36" s="5">
        <f>IF(31&lt;=DAY(EOMONTH(DATEVALUE($H$2&amp;"/1"),0)),31,"")</f>
        <v/>
      </c>
      <c r="B36" s="5">
        <f>IF(A36="","",TEXT(DATE(YEAR(DATEVALUE($H$2&amp;"/1")),MONTH(DATEVALUE($H$2&amp;"/1")),A36),"aaa"))</f>
        <v/>
      </c>
      <c r="C36" s="5">
        <f>IF(A36="","","出勤")</f>
        <v/>
      </c>
      <c r="D36" s="6" t="n"/>
      <c r="E36" s="6" t="n"/>
      <c r="F36" s="5">
        <f>IF(A36="","",60)</f>
        <v/>
      </c>
      <c r="G36" s="7">
        <f>IF(OR(A36="",D36="",E36=""),"",IF(OR(OR(D36&lt;0,D36&gt;=1,E36&lt;0,((E36+IF(E36&lt;D36,1,0))-D36)&lt;0,((E36+IF(E36&lt;D36,1,0))-D36)&gt;=1),F36&lt;0,F36&gt;((E36+IF(E36&lt;D36,1,0))-D36)*1440),NA(),ROUND(((E36+IF(E36&lt;D36,1,0))-D36)*24-F36/60,2)))</f>
        <v/>
      </c>
      <c r="H36" s="7">
        <f>IF(G36="","",MAX(0,G36-$H$3))</f>
        <v/>
      </c>
      <c r="I36" s="7">
        <f>IF(OR(A36="",D36="",E36=""),"",IF(OR(OR(D36&lt;0,D36&gt;=1,E36&lt;0,((E36+IF(E36&lt;D36,1,0))-D36)&lt;0,((E36+IF(E36&lt;D36,1,0))-D36)&gt;=1),K36&lt;0,K36&gt;F36,K36&gt;(MAX(0,MIN((E36+IF(E36&lt;D36,1,0)),TIME(5,0,0))-MAX(D36,0))+MAX(0,MIN((E36+IF(E36&lt;D36,1,0)),1+TIME(5,0,0))-MAX(D36,TIME(22,0,0)))+MAX(0,MIN((E36+IF(E36&lt;D36,1,0)),2+TIME(5,0,0))-MAX(D36,1+TIME(22,0,0))))*1440+0.000001),NA(),ROUND(((MAX(0,MIN((E36+IF(E36&lt;D36,1,0)),TIME(5,0,0))-MAX(D36,0))+MAX(0,MIN((E36+IF(E36&lt;D36,1,0)),1+TIME(5,0,0))-MAX(D36,TIME(22,0,0)))+MAX(0,MIN((E36+IF(E36&lt;D36,1,0)),2+TIME(5,0,0))-MAX(D36,1+TIME(22,0,0))))*1440-K36)/60,2)))</f>
        <v/>
      </c>
      <c r="J36" s="5" t="n"/>
      <c r="K36" s="5">
        <f>IF(A36="","",0)</f>
        <v/>
      </c>
    </row>
    <row r="37">
      <c r="F37" s="8" t="inlineStr">
        <is>
          <t>合計</t>
        </is>
      </c>
      <c r="G37" s="9">
        <f>SUM(G6:G36)</f>
        <v/>
      </c>
      <c r="H37" s="9">
        <f>SUM(H6:H36)</f>
        <v/>
      </c>
      <c r="I37" s="9">
        <f>SUM(I6:I36)</f>
        <v/>
      </c>
    </row>
    <row r="38" ht="32" customHeight="1">
      <c r="A38" s="10" t="inlineStr">
        <is>
          <t>区分：出勤／欠勤／有給／半休／休日／特別休暇。始業・終業は h:mm。終業が始業より早い場合は翌日として計算（勤務は24時間未満）。時間外は所定労働時間を超えた分。深夜は22時〜翌5時。</t>
        </is>
      </c>
    </row>
    <row r="39" ht="20" customHeight="1">
      <c r="A39" s="10" t="inlineStr">
        <is>
          <t>保存：賃金台帳と併せて5年（当分の間3年）。労基法109条・安衛法66条の8の3</t>
        </is>
      </c>
    </row>
    <row r="40" ht="32" customHeight="1">
      <c r="A40" s="10" t="inlineStr">
        <is>
          <t>F列は休憩の総分数、K列はそのうち22時〜翌5時に実際に取った休憩の分数（深夜休憩なしは0）。総休憩をK列へ重ねて入力しないでください。</t>
        </is>
      </c>
    </row>
    <row r="41" ht="32" customHeight="1">
      <c r="A41" s="10" t="inlineStr">
        <is>
          <t>#N/A が出た行は、勤務24時間以上・負の休憩・勤務/深夜時間より長い休憩などを確認してください。勤務時間が24時間以上の場合は日付ごとに分けて記録してください。</t>
        </is>
      </c>
    </row>
  </sheetData>
  <mergeCells count="4">
    <mergeCell ref="A39:K39"/>
    <mergeCell ref="A40:K40"/>
    <mergeCell ref="A41:K41"/>
    <mergeCell ref="A38:K38"/>
  </mergeCells>
  <dataValidations count="2">
    <dataValidation sqref="F6:F36" showDropDown="0" showInputMessage="0" showErrorMessage="1" allowBlank="1" errorTitle="休憩は分数で入力" error="0以上1440以下の分数を入力してください。深夜休憩は総休憩の内数です。" type="decimal" errorStyle="stop" operator="between">
      <formula1>0</formula1>
      <formula2>1440</formula2>
    </dataValidation>
    <dataValidation sqref="K6:K36" showDropDown="0" showInputMessage="0" showErrorMessage="1" allowBlank="1" errorTitle="休憩は分数で入力" error="0以上1440以下の分数を入力してください。深夜休憩は総休憩の内数です。" type="decimal" errorStyle="stop" operator="between">
      <formula1>0</formula1>
      <formula2>1440</formula2>
    </dataValidation>
  </dataValidation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2026-10-04T04:38:42Z</dcterms:created>
  <dcterms:modified xmlns:dcterms="http://purl.org/dc/terms/" xmlns:xsi="http://www.w3.org/2001/XMLSchema-instance" xsi:type="dcterms:W3CDTF">2026-10-04T04:38:42Z</dcterms:modified>
</cp:coreProperties>
</file>